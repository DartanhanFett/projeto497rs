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APDevelop\Repos\projeto-497\reference\"/>
    </mc:Choice>
  </mc:AlternateContent>
  <xr:revisionPtr revIDLastSave="0" documentId="13_ncr:1_{EA6D1EB4-43A3-49FB-A18A-7200BA5B7E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ágina1" sheetId="1" r:id="rId1"/>
    <sheet name="Página6" sheetId="2" r:id="rId2"/>
    <sheet name="Página3" sheetId="3" r:id="rId3"/>
    <sheet name="Página2" sheetId="4" r:id="rId4"/>
    <sheet name="Página4" sheetId="5" r:id="rId5"/>
    <sheet name="Página5" sheetId="6" r:id="rId6"/>
  </sheets>
  <definedNames>
    <definedName name="_xlnm._FilterDatabase" localSheetId="0" hidden="1">Página1!$A$1:$O$504</definedName>
    <definedName name="_xlnm._FilterDatabase" localSheetId="3" hidden="1">Página2!$A$1:$Z$498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4" l="1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N18" i="4"/>
  <c r="M18" i="4"/>
  <c r="P18" i="4" s="1"/>
  <c r="J18" i="4"/>
  <c r="I18" i="4"/>
  <c r="N17" i="4"/>
  <c r="M17" i="4"/>
  <c r="P17" i="4" s="1"/>
  <c r="J17" i="4"/>
  <c r="I17" i="4"/>
  <c r="N16" i="4"/>
  <c r="M16" i="4"/>
  <c r="P16" i="4" s="1"/>
  <c r="J16" i="4"/>
  <c r="I16" i="4"/>
  <c r="N15" i="4"/>
  <c r="M15" i="4"/>
  <c r="P15" i="4" s="1"/>
  <c r="J15" i="4"/>
  <c r="I15" i="4"/>
  <c r="N14" i="4"/>
  <c r="M14" i="4"/>
  <c r="P14" i="4" s="1"/>
  <c r="J14" i="4"/>
  <c r="I14" i="4"/>
  <c r="N13" i="4"/>
  <c r="M13" i="4"/>
  <c r="P13" i="4" s="1"/>
  <c r="J13" i="4"/>
  <c r="I13" i="4"/>
  <c r="N12" i="4"/>
  <c r="M12" i="4"/>
  <c r="P12" i="4" s="1"/>
  <c r="J12" i="4"/>
  <c r="I12" i="4"/>
  <c r="N11" i="4"/>
  <c r="M11" i="4"/>
  <c r="P11" i="4" s="1"/>
  <c r="J11" i="4"/>
  <c r="I11" i="4"/>
  <c r="N10" i="4"/>
  <c r="M10" i="4"/>
  <c r="P10" i="4" s="1"/>
  <c r="J10" i="4"/>
  <c r="I10" i="4"/>
  <c r="N9" i="4"/>
  <c r="M9" i="4"/>
  <c r="P9" i="4" s="1"/>
  <c r="J9" i="4"/>
  <c r="I9" i="4"/>
  <c r="N8" i="4"/>
  <c r="M8" i="4"/>
  <c r="P8" i="4" s="1"/>
  <c r="J8" i="4"/>
  <c r="I8" i="4"/>
  <c r="N7" i="4"/>
  <c r="M7" i="4"/>
  <c r="P7" i="4" s="1"/>
  <c r="J7" i="4"/>
  <c r="I7" i="4"/>
  <c r="N6" i="4"/>
  <c r="M6" i="4"/>
  <c r="P6" i="4" s="1"/>
  <c r="J6" i="4"/>
  <c r="I6" i="4"/>
  <c r="N5" i="4"/>
  <c r="M5" i="4"/>
  <c r="P5" i="4" s="1"/>
  <c r="J5" i="4"/>
  <c r="I5" i="4"/>
  <c r="N4" i="4"/>
  <c r="M4" i="4"/>
  <c r="P4" i="4" s="1"/>
  <c r="J4" i="4"/>
  <c r="I4" i="4"/>
  <c r="N3" i="4"/>
  <c r="M3" i="4"/>
  <c r="P3" i="4" s="1"/>
  <c r="J3" i="4"/>
  <c r="I3" i="4"/>
  <c r="N2" i="4"/>
  <c r="M2" i="4"/>
  <c r="P2" i="4" s="1"/>
  <c r="J2" i="4"/>
  <c r="I2" i="4"/>
  <c r="G504" i="1"/>
  <c r="E504" i="1"/>
  <c r="F450" i="1" s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8" i="1"/>
  <c r="A157" i="1"/>
  <c r="A156" i="1"/>
  <c r="A155" i="1"/>
  <c r="A154" i="1"/>
  <c r="A153" i="1"/>
  <c r="A152" i="1"/>
  <c r="A151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N5" i="1"/>
  <c r="O5" i="1" s="1"/>
  <c r="A5" i="1"/>
  <c r="A4" i="1"/>
  <c r="N3" i="1"/>
  <c r="N4" i="1" s="1"/>
  <c r="A3" i="1"/>
  <c r="A2" i="1"/>
  <c r="F242" i="1" l="1"/>
  <c r="F451" i="1"/>
  <c r="F347" i="1"/>
  <c r="F234" i="1"/>
  <c r="F471" i="1"/>
  <c r="F483" i="1"/>
  <c r="F463" i="1"/>
  <c r="F359" i="1"/>
  <c r="F464" i="1"/>
  <c r="F327" i="1"/>
  <c r="F40" i="1"/>
  <c r="F307" i="1"/>
  <c r="F444" i="1"/>
  <c r="F144" i="1"/>
  <c r="F339" i="1"/>
  <c r="F79" i="1"/>
  <c r="F34" i="1"/>
  <c r="F215" i="1"/>
  <c r="F14" i="1"/>
  <c r="F170" i="1"/>
  <c r="F228" i="1"/>
  <c r="F261" i="1"/>
  <c r="F52" i="1"/>
  <c r="F195" i="1"/>
  <c r="F273" i="1"/>
  <c r="F319" i="1"/>
  <c r="F145" i="1"/>
  <c r="F124" i="1"/>
  <c r="F320" i="1"/>
  <c r="F411" i="1"/>
  <c r="F13" i="1"/>
  <c r="F126" i="1"/>
  <c r="F105" i="1"/>
  <c r="F254" i="1"/>
  <c r="F72" i="1"/>
  <c r="F189" i="1"/>
  <c r="F169" i="1"/>
  <c r="F255" i="1"/>
  <c r="F300" i="1"/>
  <c r="F99" i="1"/>
  <c r="F235" i="1"/>
  <c r="F162" i="1"/>
  <c r="F216" i="1"/>
  <c r="F345" i="1"/>
  <c r="F378" i="1"/>
  <c r="F21" i="1"/>
  <c r="F86" i="1"/>
  <c r="F106" i="1"/>
  <c r="F138" i="1"/>
  <c r="F491" i="1"/>
  <c r="F33" i="1"/>
  <c r="F98" i="1"/>
  <c r="F118" i="1"/>
  <c r="F326" i="1"/>
  <c r="F503" i="1"/>
  <c r="F432" i="1"/>
  <c r="F7" i="1"/>
  <c r="F176" i="1"/>
  <c r="F301" i="1"/>
  <c r="F373" i="1"/>
  <c r="F404" i="1"/>
  <c r="F425" i="1"/>
  <c r="O11" i="4"/>
  <c r="F392" i="1"/>
  <c r="F445" i="1"/>
  <c r="F80" i="1"/>
  <c r="F156" i="1"/>
  <c r="F188" i="1"/>
  <c r="F209" i="1"/>
  <c r="F260" i="1"/>
  <c r="F281" i="1"/>
  <c r="O17" i="4"/>
  <c r="F39" i="1"/>
  <c r="F60" i="1"/>
  <c r="F293" i="1"/>
  <c r="F365" i="1"/>
  <c r="F385" i="1"/>
  <c r="F405" i="1"/>
  <c r="F489" i="1"/>
  <c r="F366" i="1"/>
  <c r="F386" i="1"/>
  <c r="F470" i="1"/>
  <c r="O3" i="4"/>
  <c r="O9" i="4"/>
  <c r="O3" i="1"/>
  <c r="F111" i="1"/>
  <c r="F379" i="1"/>
  <c r="F221" i="1"/>
  <c r="O13" i="4"/>
  <c r="F26" i="1"/>
  <c r="F54" i="1"/>
  <c r="F73" i="1"/>
  <c r="F92" i="1"/>
  <c r="F139" i="1"/>
  <c r="F247" i="1"/>
  <c r="F275" i="1"/>
  <c r="F294" i="1"/>
  <c r="F313" i="1"/>
  <c r="F360" i="1"/>
  <c r="F398" i="1"/>
  <c r="F417" i="1"/>
  <c r="F437" i="1"/>
  <c r="O7" i="4"/>
  <c r="O15" i="4"/>
  <c r="F8" i="1"/>
  <c r="F163" i="1"/>
  <c r="F182" i="1"/>
  <c r="F201" i="1"/>
  <c r="F229" i="1"/>
  <c r="F332" i="1"/>
  <c r="F476" i="1"/>
  <c r="F27" i="1"/>
  <c r="F46" i="1"/>
  <c r="F66" i="1"/>
  <c r="F93" i="1"/>
  <c r="F248" i="1"/>
  <c r="F267" i="1"/>
  <c r="F287" i="1"/>
  <c r="F314" i="1"/>
  <c r="F399" i="1"/>
  <c r="F458" i="1"/>
  <c r="F3" i="1"/>
  <c r="F85" i="1"/>
  <c r="F112" i="1"/>
  <c r="F132" i="1"/>
  <c r="F155" i="1"/>
  <c r="F183" i="1"/>
  <c r="F306" i="1"/>
  <c r="F333" i="1"/>
  <c r="F353" i="1"/>
  <c r="F372" i="1"/>
  <c r="F477" i="1"/>
  <c r="F497" i="1"/>
  <c r="F20" i="1"/>
  <c r="F67" i="1"/>
  <c r="F175" i="1"/>
  <c r="F203" i="1"/>
  <c r="F222" i="1"/>
  <c r="F241" i="1"/>
  <c r="F288" i="1"/>
  <c r="F431" i="1"/>
  <c r="O5" i="4"/>
  <c r="F2" i="1"/>
  <c r="F502" i="1"/>
  <c r="F496" i="1"/>
  <c r="F490" i="1"/>
  <c r="F484" i="1"/>
  <c r="F478" i="1"/>
  <c r="F472" i="1"/>
  <c r="F466" i="1"/>
  <c r="F460" i="1"/>
  <c r="F454" i="1"/>
  <c r="F448" i="1"/>
  <c r="F442" i="1"/>
  <c r="F436" i="1"/>
  <c r="F430" i="1"/>
  <c r="F424" i="1"/>
  <c r="F418" i="1"/>
  <c r="F412" i="1"/>
  <c r="F406" i="1"/>
  <c r="F400" i="1"/>
  <c r="F394" i="1"/>
  <c r="F388" i="1"/>
  <c r="F382" i="1"/>
  <c r="F376" i="1"/>
  <c r="F370" i="1"/>
  <c r="F364" i="1"/>
  <c r="F358" i="1"/>
  <c r="F352" i="1"/>
  <c r="F346" i="1"/>
  <c r="F340" i="1"/>
  <c r="F334" i="1"/>
  <c r="F328" i="1"/>
  <c r="F322" i="1"/>
  <c r="F316" i="1"/>
  <c r="F310" i="1"/>
  <c r="F304" i="1"/>
  <c r="F298" i="1"/>
  <c r="F292" i="1"/>
  <c r="F286" i="1"/>
  <c r="F280" i="1"/>
  <c r="F274" i="1"/>
  <c r="F268" i="1"/>
  <c r="F262" i="1"/>
  <c r="F256" i="1"/>
  <c r="F250" i="1"/>
  <c r="F244" i="1"/>
  <c r="F238" i="1"/>
  <c r="F232" i="1"/>
  <c r="F226" i="1"/>
  <c r="F220" i="1"/>
  <c r="F214" i="1"/>
  <c r="F208" i="1"/>
  <c r="F202" i="1"/>
  <c r="F196" i="1"/>
  <c r="F190" i="1"/>
  <c r="F184" i="1"/>
  <c r="F178" i="1"/>
  <c r="F172" i="1"/>
  <c r="F166" i="1"/>
  <c r="F160" i="1"/>
  <c r="F153" i="1"/>
  <c r="F143" i="1"/>
  <c r="F137" i="1"/>
  <c r="F131" i="1"/>
  <c r="F125" i="1"/>
  <c r="F119" i="1"/>
  <c r="F113" i="1"/>
  <c r="F107" i="1"/>
  <c r="F101" i="1"/>
  <c r="F95" i="1"/>
  <c r="F89" i="1"/>
  <c r="F83" i="1"/>
  <c r="F77" i="1"/>
  <c r="F71" i="1"/>
  <c r="F65" i="1"/>
  <c r="F59" i="1"/>
  <c r="F53" i="1"/>
  <c r="F47" i="1"/>
  <c r="F41" i="1"/>
  <c r="F35" i="1"/>
  <c r="F29" i="1"/>
  <c r="F23" i="1"/>
  <c r="F17" i="1"/>
  <c r="F11" i="1"/>
  <c r="F495" i="1"/>
  <c r="F482" i="1"/>
  <c r="F469" i="1"/>
  <c r="F456" i="1"/>
  <c r="F443" i="1"/>
  <c r="F423" i="1"/>
  <c r="F410" i="1"/>
  <c r="F397" i="1"/>
  <c r="F384" i="1"/>
  <c r="F371" i="1"/>
  <c r="F351" i="1"/>
  <c r="F338" i="1"/>
  <c r="F325" i="1"/>
  <c r="F312" i="1"/>
  <c r="F299" i="1"/>
  <c r="F279" i="1"/>
  <c r="F266" i="1"/>
  <c r="F253" i="1"/>
  <c r="F240" i="1"/>
  <c r="F227" i="1"/>
  <c r="F207" i="1"/>
  <c r="F194" i="1"/>
  <c r="F181" i="1"/>
  <c r="F168" i="1"/>
  <c r="F154" i="1"/>
  <c r="F130" i="1"/>
  <c r="F117" i="1"/>
  <c r="F104" i="1"/>
  <c r="F91" i="1"/>
  <c r="F78" i="1"/>
  <c r="F58" i="1"/>
  <c r="F45" i="1"/>
  <c r="F32" i="1"/>
  <c r="F19" i="1"/>
  <c r="F6" i="1"/>
  <c r="F213" i="1"/>
  <c r="F161" i="1"/>
  <c r="F136" i="1"/>
  <c r="F123" i="1"/>
  <c r="F84" i="1"/>
  <c r="F25" i="1"/>
  <c r="F350" i="1"/>
  <c r="F311" i="1"/>
  <c r="F278" i="1"/>
  <c r="F252" i="1"/>
  <c r="F239" i="1"/>
  <c r="F219" i="1"/>
  <c r="F193" i="1"/>
  <c r="F180" i="1"/>
  <c r="F167" i="1"/>
  <c r="F103" i="1"/>
  <c r="F18" i="1"/>
  <c r="O18" i="4"/>
  <c r="O16" i="4"/>
  <c r="O14" i="4"/>
  <c r="O12" i="4"/>
  <c r="O10" i="4"/>
  <c r="F500" i="1"/>
  <c r="F487" i="1"/>
  <c r="F474" i="1"/>
  <c r="F461" i="1"/>
  <c r="F441" i="1"/>
  <c r="F428" i="1"/>
  <c r="F415" i="1"/>
  <c r="F402" i="1"/>
  <c r="F389" i="1"/>
  <c r="F369" i="1"/>
  <c r="F356" i="1"/>
  <c r="F343" i="1"/>
  <c r="F330" i="1"/>
  <c r="F317" i="1"/>
  <c r="F297" i="1"/>
  <c r="F284" i="1"/>
  <c r="F271" i="1"/>
  <c r="F258" i="1"/>
  <c r="F245" i="1"/>
  <c r="F225" i="1"/>
  <c r="F212" i="1"/>
  <c r="F186" i="1"/>
  <c r="F173" i="1"/>
  <c r="F152" i="1"/>
  <c r="F135" i="1"/>
  <c r="F109" i="1"/>
  <c r="F96" i="1"/>
  <c r="F76" i="1"/>
  <c r="F63" i="1"/>
  <c r="F50" i="1"/>
  <c r="F24" i="1"/>
  <c r="F5" i="1"/>
  <c r="F493" i="1"/>
  <c r="F480" i="1"/>
  <c r="F447" i="1"/>
  <c r="F434" i="1"/>
  <c r="F421" i="1"/>
  <c r="F408" i="1"/>
  <c r="F395" i="1"/>
  <c r="F264" i="1"/>
  <c r="F251" i="1"/>
  <c r="F231" i="1"/>
  <c r="F218" i="1"/>
  <c r="F205" i="1"/>
  <c r="F158" i="1"/>
  <c r="F141" i="1"/>
  <c r="F128" i="1"/>
  <c r="F56" i="1"/>
  <c r="F10" i="1"/>
  <c r="F486" i="1"/>
  <c r="F453" i="1"/>
  <c r="F440" i="1"/>
  <c r="F427" i="1"/>
  <c r="F401" i="1"/>
  <c r="F342" i="1"/>
  <c r="F329" i="1"/>
  <c r="F270" i="1"/>
  <c r="F237" i="1"/>
  <c r="F224" i="1"/>
  <c r="F211" i="1"/>
  <c r="F165" i="1"/>
  <c r="F151" i="1"/>
  <c r="F134" i="1"/>
  <c r="F88" i="1"/>
  <c r="F75" i="1"/>
  <c r="F62" i="1"/>
  <c r="F49" i="1"/>
  <c r="F348" i="1"/>
  <c r="F335" i="1"/>
  <c r="F315" i="1"/>
  <c r="F302" i="1"/>
  <c r="F243" i="1"/>
  <c r="F230" i="1"/>
  <c r="F217" i="1"/>
  <c r="F171" i="1"/>
  <c r="F157" i="1"/>
  <c r="F127" i="1"/>
  <c r="F114" i="1"/>
  <c r="F81" i="1"/>
  <c r="F498" i="1"/>
  <c r="F485" i="1"/>
  <c r="F465" i="1"/>
  <c r="F452" i="1"/>
  <c r="F439" i="1"/>
  <c r="F426" i="1"/>
  <c r="F413" i="1"/>
  <c r="F393" i="1"/>
  <c r="F380" i="1"/>
  <c r="F367" i="1"/>
  <c r="F354" i="1"/>
  <c r="F341" i="1"/>
  <c r="F321" i="1"/>
  <c r="F308" i="1"/>
  <c r="F295" i="1"/>
  <c r="F282" i="1"/>
  <c r="F269" i="1"/>
  <c r="F236" i="1"/>
  <c r="F223" i="1"/>
  <c r="F210" i="1"/>
  <c r="F197" i="1"/>
  <c r="F164" i="1"/>
  <c r="F146" i="1"/>
  <c r="F120" i="1"/>
  <c r="F87" i="1"/>
  <c r="F74" i="1"/>
  <c r="F61" i="1"/>
  <c r="F15" i="1"/>
  <c r="F501" i="1"/>
  <c r="F488" i="1"/>
  <c r="F475" i="1"/>
  <c r="F462" i="1"/>
  <c r="F449" i="1"/>
  <c r="F429" i="1"/>
  <c r="F416" i="1"/>
  <c r="F403" i="1"/>
  <c r="F390" i="1"/>
  <c r="F377" i="1"/>
  <c r="F357" i="1"/>
  <c r="F344" i="1"/>
  <c r="F331" i="1"/>
  <c r="F318" i="1"/>
  <c r="F305" i="1"/>
  <c r="F285" i="1"/>
  <c r="F272" i="1"/>
  <c r="F259" i="1"/>
  <c r="F246" i="1"/>
  <c r="F233" i="1"/>
  <c r="F200" i="1"/>
  <c r="F187" i="1"/>
  <c r="F174" i="1"/>
  <c r="F110" i="1"/>
  <c r="F97" i="1"/>
  <c r="F64" i="1"/>
  <c r="F51" i="1"/>
  <c r="F38" i="1"/>
  <c r="F12" i="1"/>
  <c r="F363" i="1"/>
  <c r="F265" i="1"/>
  <c r="F206" i="1"/>
  <c r="F129" i="1"/>
  <c r="F116" i="1"/>
  <c r="F70" i="1"/>
  <c r="F57" i="1"/>
  <c r="F44" i="1"/>
  <c r="F31" i="1"/>
  <c r="F492" i="1"/>
  <c r="F479" i="1"/>
  <c r="F459" i="1"/>
  <c r="F446" i="1"/>
  <c r="F433" i="1"/>
  <c r="F420" i="1"/>
  <c r="F407" i="1"/>
  <c r="F387" i="1"/>
  <c r="F374" i="1"/>
  <c r="F361" i="1"/>
  <c r="F289" i="1"/>
  <c r="F276" i="1"/>
  <c r="F263" i="1"/>
  <c r="F204" i="1"/>
  <c r="F140" i="1"/>
  <c r="F94" i="1"/>
  <c r="F42" i="1"/>
  <c r="F22" i="1"/>
  <c r="F9" i="1"/>
  <c r="F177" i="1"/>
  <c r="O8" i="4"/>
  <c r="O6" i="4"/>
  <c r="O4" i="4"/>
  <c r="O2" i="4"/>
  <c r="F494" i="1"/>
  <c r="F481" i="1"/>
  <c r="F468" i="1"/>
  <c r="F455" i="1"/>
  <c r="F435" i="1"/>
  <c r="F422" i="1"/>
  <c r="F409" i="1"/>
  <c r="F396" i="1"/>
  <c r="F383" i="1"/>
  <c r="F337" i="1"/>
  <c r="F324" i="1"/>
  <c r="F291" i="1"/>
  <c r="F142" i="1"/>
  <c r="F90" i="1"/>
  <c r="F122" i="1"/>
  <c r="F37" i="1"/>
  <c r="F467" i="1"/>
  <c r="F375" i="1"/>
  <c r="F362" i="1"/>
  <c r="F349" i="1"/>
  <c r="F323" i="1"/>
  <c r="F303" i="1"/>
  <c r="F290" i="1"/>
  <c r="F277" i="1"/>
  <c r="F192" i="1"/>
  <c r="F179" i="1"/>
  <c r="F115" i="1"/>
  <c r="F102" i="1"/>
  <c r="F82" i="1"/>
  <c r="F69" i="1"/>
  <c r="F43" i="1"/>
  <c r="F30" i="1"/>
  <c r="F199" i="1"/>
  <c r="F336" i="1"/>
  <c r="F499" i="1"/>
  <c r="F473" i="1"/>
  <c r="F414" i="1"/>
  <c r="F381" i="1"/>
  <c r="F368" i="1"/>
  <c r="F355" i="1"/>
  <c r="F309" i="1"/>
  <c r="F296" i="1"/>
  <c r="F283" i="1"/>
  <c r="F257" i="1"/>
  <c r="F198" i="1"/>
  <c r="F185" i="1"/>
  <c r="F121" i="1"/>
  <c r="F108" i="1"/>
  <c r="F36" i="1"/>
  <c r="F16" i="1"/>
  <c r="F191" i="1"/>
  <c r="F68" i="1"/>
  <c r="F55" i="1"/>
  <c r="F249" i="1"/>
  <c r="F133" i="1"/>
  <c r="F100" i="1"/>
  <c r="F48" i="1"/>
  <c r="F28" i="1"/>
  <c r="F4" i="1"/>
  <c r="F391" i="1"/>
  <c r="F419" i="1"/>
  <c r="F438" i="1"/>
  <c r="F457" i="1"/>
  <c r="F504" i="1" l="1"/>
</calcChain>
</file>

<file path=xl/sharedStrings.xml><?xml version="1.0" encoding="utf-8"?>
<sst xmlns="http://schemas.openxmlformats.org/spreadsheetml/2006/main" count="2886" uniqueCount="763">
  <si>
    <t>Estado</t>
  </si>
  <si>
    <t>Pos.</t>
  </si>
  <si>
    <t>Cidade</t>
  </si>
  <si>
    <t>Pop.
(Censo2010)[1]</t>
  </si>
  <si>
    <t>Pop.
(Estim. 2019)[2]</t>
  </si>
  <si>
    <t>% de População</t>
  </si>
  <si>
    <t>Área (km²)</t>
  </si>
  <si>
    <t>Microrregião</t>
  </si>
  <si>
    <t>Mesorregião</t>
  </si>
  <si>
    <t>Visitado</t>
  </si>
  <si>
    <t>Igreja visitada</t>
  </si>
  <si>
    <t>Postado Face</t>
  </si>
  <si>
    <t>Aceguá</t>
  </si>
  <si>
    <t>Campanha Meridional</t>
  </si>
  <si>
    <t>Sudoeste</t>
  </si>
  <si>
    <t>Não</t>
  </si>
  <si>
    <t>Total</t>
  </si>
  <si>
    <t>Água Santa</t>
  </si>
  <si>
    <t>Passo Fundo</t>
  </si>
  <si>
    <t>Noroeste</t>
  </si>
  <si>
    <t xml:space="preserve">Igreja Santo Antônio </t>
  </si>
  <si>
    <t>Sim</t>
  </si>
  <si>
    <t>Visitados</t>
  </si>
  <si>
    <t>Agudo</t>
  </si>
  <si>
    <t>Restinga Seca</t>
  </si>
  <si>
    <t>Centro Ocidental</t>
  </si>
  <si>
    <t>Faltam</t>
  </si>
  <si>
    <t>Ajuricaba</t>
  </si>
  <si>
    <t>Ijuí</t>
  </si>
  <si>
    <t>Postados no Face</t>
  </si>
  <si>
    <t>Alecrim</t>
  </si>
  <si>
    <t>Santa Rosa</t>
  </si>
  <si>
    <t>Alegrete</t>
  </si>
  <si>
    <t>Campanha Ocidental</t>
  </si>
  <si>
    <t>Alegria</t>
  </si>
  <si>
    <t>Almirante Tamandaré do Sul</t>
  </si>
  <si>
    <t>Carazinho</t>
  </si>
  <si>
    <t>São João Batista</t>
  </si>
  <si>
    <t>Alpestre</t>
  </si>
  <si>
    <t>Frederico Westphalen</t>
  </si>
  <si>
    <t>São Francisco</t>
  </si>
  <si>
    <t>Alto Alegre</t>
  </si>
  <si>
    <t>Cruz Alta</t>
  </si>
  <si>
    <t>Alto Feliz</t>
  </si>
  <si>
    <t>Montenegro</t>
  </si>
  <si>
    <t>Metropolitana</t>
  </si>
  <si>
    <t>Igreja Santo Inácio da Feliz</t>
  </si>
  <si>
    <t>Alvorada</t>
  </si>
  <si>
    <t>Porto Alegre</t>
  </si>
  <si>
    <t>Amaral Ferrador</t>
  </si>
  <si>
    <t>Serras de Sudeste</t>
  </si>
  <si>
    <t>Sudeste</t>
  </si>
  <si>
    <t>Ametista do Sul</t>
  </si>
  <si>
    <t>São Miguel Arcanjo</t>
  </si>
  <si>
    <t>VISITAMOS NOVAMENTE EM 05/06/2024</t>
  </si>
  <si>
    <t>André da Rocha</t>
  </si>
  <si>
    <t>Guaporé</t>
  </si>
  <si>
    <t>Nordeste</t>
  </si>
  <si>
    <t xml:space="preserve">Igreja São Sebastião </t>
  </si>
  <si>
    <t>Anta Gorda</t>
  </si>
  <si>
    <t xml:space="preserve">Igreja São Carlos </t>
  </si>
  <si>
    <t>Antônio Prado</t>
  </si>
  <si>
    <t>Caxias do Sul</t>
  </si>
  <si>
    <t xml:space="preserve">Igreja Sagrado Coração de Jesus </t>
  </si>
  <si>
    <t>Arambaré</t>
  </si>
  <si>
    <t>Camaquã</t>
  </si>
  <si>
    <t xml:space="preserve">Igreja Nossa Senhora dos Navegantes </t>
  </si>
  <si>
    <t>Araricá</t>
  </si>
  <si>
    <t xml:space="preserve">Igreja Nossa Senhora da Conceição </t>
  </si>
  <si>
    <t>Aratiba</t>
  </si>
  <si>
    <t>Erechim</t>
  </si>
  <si>
    <t>São Tiago</t>
  </si>
  <si>
    <t>Arroio do Meio</t>
  </si>
  <si>
    <t>Lajeado-Estrela</t>
  </si>
  <si>
    <t>Centro Oriental</t>
  </si>
  <si>
    <t xml:space="preserve">Igreja  Nossa Senhora do Perpétuo Socorro </t>
  </si>
  <si>
    <t>Arroio do Padre</t>
  </si>
  <si>
    <t>Pelotas</t>
  </si>
  <si>
    <t>Arroio do Sal</t>
  </si>
  <si>
    <t>Osório</t>
  </si>
  <si>
    <t>Igreja Nossa Senhora de Lourdes</t>
  </si>
  <si>
    <t>Arroio do Tigre</t>
  </si>
  <si>
    <t>Santa Cruz do Sul</t>
  </si>
  <si>
    <t>Arroio dos Ratos</t>
  </si>
  <si>
    <t>São Jerônimo</t>
  </si>
  <si>
    <t>Arroio Grande</t>
  </si>
  <si>
    <t>Jaguarão</t>
  </si>
  <si>
    <t xml:space="preserve">Igreja Nossa Senhora da Graça </t>
  </si>
  <si>
    <t>Arvorezinha</t>
  </si>
  <si>
    <t xml:space="preserve">Igreja São João Batista </t>
  </si>
  <si>
    <t>Augusto Pestana</t>
  </si>
  <si>
    <t>Áurea</t>
  </si>
  <si>
    <t>Igreja  Nossa Senhora do Monte Claro</t>
  </si>
  <si>
    <t>Bagé</t>
  </si>
  <si>
    <t>Balneário Pinhal</t>
  </si>
  <si>
    <t xml:space="preserve">Igreja Santo Antônio de Pádua </t>
  </si>
  <si>
    <t>Barão</t>
  </si>
  <si>
    <t xml:space="preserve">Igreja São José </t>
  </si>
  <si>
    <t>Barão de Cotegipe</t>
  </si>
  <si>
    <t>Barão do Triunfo</t>
  </si>
  <si>
    <t>Barra do Guarita</t>
  </si>
  <si>
    <t>Três Passos</t>
  </si>
  <si>
    <t>Barra do Quaraí</t>
  </si>
  <si>
    <t>Barra do Ribeiro</t>
  </si>
  <si>
    <t xml:space="preserve">Igreja São José, </t>
  </si>
  <si>
    <t>Barra do Rio Azul</t>
  </si>
  <si>
    <t>Nossa Senhora Medianeira</t>
  </si>
  <si>
    <t>Barra Funda</t>
  </si>
  <si>
    <t>Barracão</t>
  </si>
  <si>
    <t>Sananduva</t>
  </si>
  <si>
    <t xml:space="preserve">Nossa Senhora das Dores </t>
  </si>
  <si>
    <t>Barros Cassal</t>
  </si>
  <si>
    <t>Soledade</t>
  </si>
  <si>
    <t xml:space="preserve">Igreja  Nossa Senhora Medianeira </t>
  </si>
  <si>
    <t>Benjamin Constant do Sul</t>
  </si>
  <si>
    <t>São Roque</t>
  </si>
  <si>
    <t>Bento Gonçalves</t>
  </si>
  <si>
    <t>Igreja Cristo Rei</t>
  </si>
  <si>
    <t>Boa Vista das Missões</t>
  </si>
  <si>
    <t>Boa Vista do Buricá</t>
  </si>
  <si>
    <t>Boa Vista do Cadeado</t>
  </si>
  <si>
    <t>Boa Vista do Incra</t>
  </si>
  <si>
    <t>Boa Vista do Sul</t>
  </si>
  <si>
    <t>Igreja São Francisco Xavier</t>
  </si>
  <si>
    <t>Bom Jesus</t>
  </si>
  <si>
    <t>Vacaria</t>
  </si>
  <si>
    <t>Igreja do Senhor Bom Jesus</t>
  </si>
  <si>
    <t>Bom Princípio</t>
  </si>
  <si>
    <t>Igreja Nossa Senhora Da Purificacao</t>
  </si>
  <si>
    <t>Bom Progresso</t>
  </si>
  <si>
    <t>Bom Retiro do Sul</t>
  </si>
  <si>
    <t xml:space="preserve">Igreja Sagrada Família </t>
  </si>
  <si>
    <t>Boqueirão do Leão</t>
  </si>
  <si>
    <t>Bossoroca</t>
  </si>
  <si>
    <t>Santo Ângelo</t>
  </si>
  <si>
    <t>Bozano</t>
  </si>
  <si>
    <t xml:space="preserve">igreja N. A. Saúde </t>
  </si>
  <si>
    <t>Braga</t>
  </si>
  <si>
    <t>Brochier</t>
  </si>
  <si>
    <t>Igreja São João Batista</t>
  </si>
  <si>
    <t>Butiá</t>
  </si>
  <si>
    <t>Caçapava do Sul</t>
  </si>
  <si>
    <t>Cacequi</t>
  </si>
  <si>
    <t>Santa Maria</t>
  </si>
  <si>
    <t>Cachoeira do Sul</t>
  </si>
  <si>
    <t>Cachoeirinha</t>
  </si>
  <si>
    <t>Igreja de São Vicente de Paulo</t>
  </si>
  <si>
    <t>Cacique Doble</t>
  </si>
  <si>
    <t>Nossa Senhora de Lourdes</t>
  </si>
  <si>
    <t>Caibaté</t>
  </si>
  <si>
    <t>Cerro Largo</t>
  </si>
  <si>
    <t xml:space="preserve">Igreja Santa Lúcia </t>
  </si>
  <si>
    <t>Caiçara</t>
  </si>
  <si>
    <t>Camargo</t>
  </si>
  <si>
    <t>Cambará do Sul</t>
  </si>
  <si>
    <t>Igreja de São José</t>
  </si>
  <si>
    <t>Campestre da Serra</t>
  </si>
  <si>
    <t xml:space="preserve">Igreja Nossa Senhota Auxiliadora </t>
  </si>
  <si>
    <t>Campina das Missões</t>
  </si>
  <si>
    <t>Campinas do Sul</t>
  </si>
  <si>
    <t>Nossa Senhora do Navegantes</t>
  </si>
  <si>
    <t>Campo Bom</t>
  </si>
  <si>
    <t xml:space="preserve">Igreja Santa Teresinha </t>
  </si>
  <si>
    <t>Campo Novo</t>
  </si>
  <si>
    <t>Campos Borges</t>
  </si>
  <si>
    <t>Candelária</t>
  </si>
  <si>
    <t xml:space="preserve">Igreja  Nossa Senhora da Candelária </t>
  </si>
  <si>
    <t>Cândido Godói</t>
  </si>
  <si>
    <t>Candiota</t>
  </si>
  <si>
    <t>Canela</t>
  </si>
  <si>
    <t>Gramado-Canela</t>
  </si>
  <si>
    <t xml:space="preserve">Igreja Nossa Senhora de Lourdes </t>
  </si>
  <si>
    <t>Canguçu</t>
  </si>
  <si>
    <t>Canoas</t>
  </si>
  <si>
    <t>Paróquia São João Batista</t>
  </si>
  <si>
    <t>Canudos do Vale</t>
  </si>
  <si>
    <t xml:space="preserve">Igreja Nossa senhora da Natividade </t>
  </si>
  <si>
    <t>Capão Bonito do Sul</t>
  </si>
  <si>
    <t xml:space="preserve">Igreja Nossa Senhora do Caravaggio </t>
  </si>
  <si>
    <t>Capão da Canoa</t>
  </si>
  <si>
    <t>Capão do Cipó</t>
  </si>
  <si>
    <t>Santiago</t>
  </si>
  <si>
    <t>Capão do Leão</t>
  </si>
  <si>
    <t>Igreja Santa Tecla</t>
  </si>
  <si>
    <t>Capela de Santana</t>
  </si>
  <si>
    <t>Igreja Santa Ana</t>
  </si>
  <si>
    <t>Capitão</t>
  </si>
  <si>
    <t xml:space="preserve">Nossa Senhora de Fátima </t>
  </si>
  <si>
    <t>Capivari do Sul</t>
  </si>
  <si>
    <t xml:space="preserve">Igreja  São Jorge </t>
  </si>
  <si>
    <t>Caraá</t>
  </si>
  <si>
    <t xml:space="preserve">Igreja São Cristóvão </t>
  </si>
  <si>
    <t xml:space="preserve">Igreja São João </t>
  </si>
  <si>
    <t>Carlos Barbosa</t>
  </si>
  <si>
    <t xml:space="preserve">Igreja Nossa Senhora Mãe se Deus </t>
  </si>
  <si>
    <t>Carlos Gomes</t>
  </si>
  <si>
    <t xml:space="preserve">igreja  Santa Ana </t>
  </si>
  <si>
    <t>Casca</t>
  </si>
  <si>
    <t>Igreja São Luiz Gonzaga</t>
  </si>
  <si>
    <t>Caseiros</t>
  </si>
  <si>
    <t xml:space="preserve">Igreja Nossa Senhora Conceição </t>
  </si>
  <si>
    <t>Catuípe</t>
  </si>
  <si>
    <t xml:space="preserve">Igreja Santa Teresa D'avila </t>
  </si>
  <si>
    <t>Centenário</t>
  </si>
  <si>
    <t>Igreja  Santo André Bobola</t>
  </si>
  <si>
    <t>Cerrito</t>
  </si>
  <si>
    <t xml:space="preserve">Igreja São Pedro Apóstolo </t>
  </si>
  <si>
    <t>Cerro Branco</t>
  </si>
  <si>
    <t>Cerro Grande</t>
  </si>
  <si>
    <t>Cerro Grande do Sul</t>
  </si>
  <si>
    <t>Chapada</t>
  </si>
  <si>
    <t>Charqueadas</t>
  </si>
  <si>
    <t>igreja Nossa Senhora dos Navegantes</t>
  </si>
  <si>
    <t>Charrua</t>
  </si>
  <si>
    <t xml:space="preserve">Igreja  Nossa Senhora do Rosário </t>
  </si>
  <si>
    <t>Chiapetta</t>
  </si>
  <si>
    <t>Chuí</t>
  </si>
  <si>
    <t>Litoral Lagunar</t>
  </si>
  <si>
    <t>Chuvisca</t>
  </si>
  <si>
    <t xml:space="preserve">MetropolitanaIgreja </t>
  </si>
  <si>
    <t>Cidreira</t>
  </si>
  <si>
    <t>Igreja Nossa Senhora da Saude</t>
  </si>
  <si>
    <t>Ciríaco</t>
  </si>
  <si>
    <t xml:space="preserve">Igreja Santa Terezinha </t>
  </si>
  <si>
    <t>Colinas</t>
  </si>
  <si>
    <t>Igreja  Sagrado coração de Jesus</t>
  </si>
  <si>
    <t>Colorado</t>
  </si>
  <si>
    <t>Não-Me-Toque</t>
  </si>
  <si>
    <t>Condor</t>
  </si>
  <si>
    <t>Constantina</t>
  </si>
  <si>
    <t>Coqueiro Baixo</t>
  </si>
  <si>
    <t xml:space="preserve">São José </t>
  </si>
  <si>
    <t>Coqueiros do Sul</t>
  </si>
  <si>
    <t>São José</t>
  </si>
  <si>
    <t>Coronel Barros</t>
  </si>
  <si>
    <t>Coronel Bicaco</t>
  </si>
  <si>
    <t>Coronel Pilar</t>
  </si>
  <si>
    <t>Igreja São Lorenzo</t>
  </si>
  <si>
    <t>Cotiporã</t>
  </si>
  <si>
    <t xml:space="preserve">Igreja Nossa Senhora da Saúde </t>
  </si>
  <si>
    <t>Coxilha</t>
  </si>
  <si>
    <t xml:space="preserve">igreja São joão Batista </t>
  </si>
  <si>
    <t>Crissiumal</t>
  </si>
  <si>
    <t>Cristal</t>
  </si>
  <si>
    <t>Igreja Sagrada Familia</t>
  </si>
  <si>
    <t>Cristal do Sul</t>
  </si>
  <si>
    <t>Imaculada Conceição</t>
  </si>
  <si>
    <t>Cruzaltense</t>
  </si>
  <si>
    <t>Santo Antônio</t>
  </si>
  <si>
    <t>Cruzeiro do Sul</t>
  </si>
  <si>
    <t xml:space="preserve">Igreja São Gabriel Arcanjo </t>
  </si>
  <si>
    <t>David Canabarro</t>
  </si>
  <si>
    <t>Derrubadas</t>
  </si>
  <si>
    <t>Dezesseis de Novembro</t>
  </si>
  <si>
    <t>Dilermando de Aguiar</t>
  </si>
  <si>
    <t>Dois Irmãos</t>
  </si>
  <si>
    <t xml:space="preserve">Igreja São Miguel </t>
  </si>
  <si>
    <t>Dois Irmãos das Missões</t>
  </si>
  <si>
    <t>Dois Lajeados</t>
  </si>
  <si>
    <t>Igreja São Roque</t>
  </si>
  <si>
    <t>Dom Feliciano</t>
  </si>
  <si>
    <t>Dom Pedrito</t>
  </si>
  <si>
    <t>Dom Pedro de Alcântara</t>
  </si>
  <si>
    <t>Igreja Nossa Senhora do Amparo</t>
  </si>
  <si>
    <t>Dona Francisca</t>
  </si>
  <si>
    <t>Doutor Maurício Cardoso</t>
  </si>
  <si>
    <t>Doutor Ricardo</t>
  </si>
  <si>
    <t>Lajeado Estrela</t>
  </si>
  <si>
    <t>São Caetano</t>
  </si>
  <si>
    <t>Eldorado do Sul</t>
  </si>
  <si>
    <t>Igreja Nossa Senhora da Medianeira</t>
  </si>
  <si>
    <t>Encantado</t>
  </si>
  <si>
    <t>Igreja São Pedro</t>
  </si>
  <si>
    <t>Encruzilhada do Sul</t>
  </si>
  <si>
    <t>Engenho Velho</t>
  </si>
  <si>
    <t>Entre Rios do Sul</t>
  </si>
  <si>
    <t>Nossa Senhora de Fátima</t>
  </si>
  <si>
    <t>Entre-Ijuís</t>
  </si>
  <si>
    <t xml:space="preserve">Três Mártires das Missões </t>
  </si>
  <si>
    <t>Erebango</t>
  </si>
  <si>
    <t>São Sebastião</t>
  </si>
  <si>
    <t>Ernestina</t>
  </si>
  <si>
    <t>Erval Grande</t>
  </si>
  <si>
    <t>Nossa senhora da Glória</t>
  </si>
  <si>
    <t>Erval Seco</t>
  </si>
  <si>
    <t>Esmeralda</t>
  </si>
  <si>
    <t>Esperança do Sul</t>
  </si>
  <si>
    <t>Espumoso</t>
  </si>
  <si>
    <t xml:space="preserve">São jorge </t>
  </si>
  <si>
    <t>Estação</t>
  </si>
  <si>
    <t xml:space="preserve">Santa Teresinha </t>
  </si>
  <si>
    <t>Estância Velha</t>
  </si>
  <si>
    <t>Esteio</t>
  </si>
  <si>
    <t>Igreja Sagrado Coração de Maria</t>
  </si>
  <si>
    <t>Estrela</t>
  </si>
  <si>
    <t xml:space="preserve">Santo Antônio </t>
  </si>
  <si>
    <t>Estrela Velha</t>
  </si>
  <si>
    <t>Eugênio de Castro</t>
  </si>
  <si>
    <t>Fagundes Varela</t>
  </si>
  <si>
    <t>Farroupilha</t>
  </si>
  <si>
    <t xml:space="preserve">Igreja Sagrado Coração de Jesus, </t>
  </si>
  <si>
    <t>Faxinal do Soturno</t>
  </si>
  <si>
    <t>Faxinalzinho</t>
  </si>
  <si>
    <t>Nossa Senhora do Rosário de Pompeia</t>
  </si>
  <si>
    <t>Fazenda Vilanova</t>
  </si>
  <si>
    <t xml:space="preserve">São cristóvão </t>
  </si>
  <si>
    <t>Feliz</t>
  </si>
  <si>
    <t>Flores da Cunha</t>
  </si>
  <si>
    <t>Floriano Peixoto</t>
  </si>
  <si>
    <t xml:space="preserve">Nossa senhora da Saúde </t>
  </si>
  <si>
    <t>Fontoura Xavier</t>
  </si>
  <si>
    <t>Formigueiro</t>
  </si>
  <si>
    <t>Forquetinha</t>
  </si>
  <si>
    <t xml:space="preserve">São Cristóvão </t>
  </si>
  <si>
    <t>Fortaleza dos Valos</t>
  </si>
  <si>
    <t>Garibaldi</t>
  </si>
  <si>
    <t>Igreja Santo Pedro</t>
  </si>
  <si>
    <t>Garruchos</t>
  </si>
  <si>
    <t>Gaurama</t>
  </si>
  <si>
    <t xml:space="preserve">Sao Luiz Gonzaga </t>
  </si>
  <si>
    <t>General Câmara</t>
  </si>
  <si>
    <t>São Nicolau II</t>
  </si>
  <si>
    <t>Gentil</t>
  </si>
  <si>
    <t>Getúlio Vargas</t>
  </si>
  <si>
    <t xml:space="preserve">Imaculada Conceição </t>
  </si>
  <si>
    <t>Giruá</t>
  </si>
  <si>
    <t>Glorinha</t>
  </si>
  <si>
    <t>Igreja Nossa Senhora da Gloria.</t>
  </si>
  <si>
    <t>Gramado</t>
  </si>
  <si>
    <t>Igreja de São Pedro</t>
  </si>
  <si>
    <t>Gramado dos Loureiros</t>
  </si>
  <si>
    <t>Gramado Xavier</t>
  </si>
  <si>
    <t>Gravataí</t>
  </si>
  <si>
    <t>Igreja Nossa Senhora dos Anjos</t>
  </si>
  <si>
    <t>Guabiju</t>
  </si>
  <si>
    <t>Guaíba</t>
  </si>
  <si>
    <t>Igreja Nossa Senhora do Livramento</t>
  </si>
  <si>
    <t>Guarani das Missões</t>
  </si>
  <si>
    <t>Harmonia</t>
  </si>
  <si>
    <t xml:space="preserve">Igreja São João Nepomuceno </t>
  </si>
  <si>
    <t>Herval</t>
  </si>
  <si>
    <t>Herveiras</t>
  </si>
  <si>
    <t>Horizontina</t>
  </si>
  <si>
    <t>Hulha Negra</t>
  </si>
  <si>
    <t>Humaitá</t>
  </si>
  <si>
    <t>Ibarama</t>
  </si>
  <si>
    <t>Ibiaçá</t>
  </si>
  <si>
    <t>Nossa Senhora Consoladora</t>
  </si>
  <si>
    <t>Ibiraiaras</t>
  </si>
  <si>
    <t>Ibirapuitã</t>
  </si>
  <si>
    <t xml:space="preserve">Igreja Nossa Senhora Aparecida </t>
  </si>
  <si>
    <t>Ibirubá</t>
  </si>
  <si>
    <t>Igrejinha</t>
  </si>
  <si>
    <t xml:space="preserve">Igreja Imaculada Conceição </t>
  </si>
  <si>
    <t xml:space="preserve">Igreja da Natividade </t>
  </si>
  <si>
    <t>Ilópolis</t>
  </si>
  <si>
    <t xml:space="preserve">Igreja São Paulo Apóstolo </t>
  </si>
  <si>
    <t>Imbé</t>
  </si>
  <si>
    <t xml:space="preserve">Igreja Nossa Senhora Medianeira </t>
  </si>
  <si>
    <t>Imigrante</t>
  </si>
  <si>
    <t>Independência</t>
  </si>
  <si>
    <t>Inhacorá</t>
  </si>
  <si>
    <t>Ipê</t>
  </si>
  <si>
    <t>Igreja São Luiz Rei</t>
  </si>
  <si>
    <t>Ipiranga do Sul</t>
  </si>
  <si>
    <t>Nossa Senhora das Dores</t>
  </si>
  <si>
    <t>Iraí</t>
  </si>
  <si>
    <t>Itaara</t>
  </si>
  <si>
    <t>Itacurubi</t>
  </si>
  <si>
    <t>Itapuca</t>
  </si>
  <si>
    <t>Igreja São Miguel Arcanjo</t>
  </si>
  <si>
    <t>Itaqui</t>
  </si>
  <si>
    <t>Itati</t>
  </si>
  <si>
    <t>Igreja Santa Rita</t>
  </si>
  <si>
    <t>Itatiba do Sul</t>
  </si>
  <si>
    <t>Ivorá</t>
  </si>
  <si>
    <t>Ivoti</t>
  </si>
  <si>
    <t>Igreja São Pedro Apostolo</t>
  </si>
  <si>
    <t>Jaboticaba</t>
  </si>
  <si>
    <t>Jacuizinho</t>
  </si>
  <si>
    <t>Jacutinga</t>
  </si>
  <si>
    <t xml:space="preserve">Igreja do Divino Espírito Santo, </t>
  </si>
  <si>
    <t>Jaguari</t>
  </si>
  <si>
    <t>Jaquirana</t>
  </si>
  <si>
    <t xml:space="preserve">Igreja São Gonçalo </t>
  </si>
  <si>
    <t>Jari</t>
  </si>
  <si>
    <t>Jóia</t>
  </si>
  <si>
    <t>Júlio de Castilhos</t>
  </si>
  <si>
    <t>Lagoa Bonita do Sul</t>
  </si>
  <si>
    <t>Lagoa dos Três Cantos</t>
  </si>
  <si>
    <t>Paróquia São Paulo</t>
  </si>
  <si>
    <t>Lagoa Vermelha</t>
  </si>
  <si>
    <t>Igreja São Paulo</t>
  </si>
  <si>
    <t>Lagoão</t>
  </si>
  <si>
    <t>Lajeado</t>
  </si>
  <si>
    <t xml:space="preserve">Igreja Santo Inácio de Loyola </t>
  </si>
  <si>
    <t>Lajeado do Bugre</t>
  </si>
  <si>
    <t>Lavras do Sul</t>
  </si>
  <si>
    <t>Liberato Salzano</t>
  </si>
  <si>
    <t>Lindolfo Collor</t>
  </si>
  <si>
    <t>Linha Nova</t>
  </si>
  <si>
    <t xml:space="preserve">Igreja Católica </t>
  </si>
  <si>
    <t>Maçambará</t>
  </si>
  <si>
    <t>Machadinho</t>
  </si>
  <si>
    <t xml:space="preserve">Nossa Senhora do Rosário </t>
  </si>
  <si>
    <t>Mampituba</t>
  </si>
  <si>
    <t xml:space="preserve">Igreja São José Operário </t>
  </si>
  <si>
    <t>Manoel Viana</t>
  </si>
  <si>
    <t>Maquiné</t>
  </si>
  <si>
    <t>Igreja Santo André Avelino</t>
  </si>
  <si>
    <t>Maratá</t>
  </si>
  <si>
    <t>Igreja São Miguel</t>
  </si>
  <si>
    <t>Marau</t>
  </si>
  <si>
    <t>Igreja Cristo Redentor</t>
  </si>
  <si>
    <t>Marcelino Ramos</t>
  </si>
  <si>
    <t>Mariana Pimentel</t>
  </si>
  <si>
    <t>Igreja Nossa Senhora do Rosario</t>
  </si>
  <si>
    <t>Mariano Moro</t>
  </si>
  <si>
    <t xml:space="preserve">Igreja São Francisco de Assis </t>
  </si>
  <si>
    <t>Marques de Souza</t>
  </si>
  <si>
    <t>Igreja Nossa Senhora das Gracas</t>
  </si>
  <si>
    <t>Mata</t>
  </si>
  <si>
    <t>Mato Castelhano</t>
  </si>
  <si>
    <t xml:space="preserve">Igreja São Roque </t>
  </si>
  <si>
    <t>Mato Leitão</t>
  </si>
  <si>
    <t xml:space="preserve">Igreja Santa Inês </t>
  </si>
  <si>
    <t>Mato Queimado</t>
  </si>
  <si>
    <t xml:space="preserve">Igreja São Estanislau </t>
  </si>
  <si>
    <t>Maximiliano de Almeida</t>
  </si>
  <si>
    <t xml:space="preserve">São Sebastião </t>
  </si>
  <si>
    <t>Minas do Leão</t>
  </si>
  <si>
    <t>Miraguaí</t>
  </si>
  <si>
    <t>Montauri</t>
  </si>
  <si>
    <t>Igreja São Jose</t>
  </si>
  <si>
    <t>Monte Alegre dos Campos</t>
  </si>
  <si>
    <t>Igreja do Menino Deus</t>
  </si>
  <si>
    <t>Monte Belo do Sul</t>
  </si>
  <si>
    <t>Igreja São Francisco de Assis</t>
  </si>
  <si>
    <t>Mormaço</t>
  </si>
  <si>
    <t>Morrinhos do Sul</t>
  </si>
  <si>
    <t>Igreja Senhor Bom Jesus</t>
  </si>
  <si>
    <t>Morro Redondo</t>
  </si>
  <si>
    <t>Morro Reuter</t>
  </si>
  <si>
    <t>Mostardas</t>
  </si>
  <si>
    <t>Igreja de São Luiz Rei</t>
  </si>
  <si>
    <t>Muçum</t>
  </si>
  <si>
    <t xml:space="preserve">Igreja Nossa Senhora da Purificação </t>
  </si>
  <si>
    <t>Muitos Capões</t>
  </si>
  <si>
    <t>Muliterno</t>
  </si>
  <si>
    <t>Nicolau Vergueiro</t>
  </si>
  <si>
    <t>Nonoai</t>
  </si>
  <si>
    <t>Nossa Senhora da Luz</t>
  </si>
  <si>
    <t>Nova Alvorada</t>
  </si>
  <si>
    <t>Nova Araçá</t>
  </si>
  <si>
    <t>Igreja Santiago e Nossa Senhora Fatima</t>
  </si>
  <si>
    <t>Nova Bassano</t>
  </si>
  <si>
    <t>Igreja Sagrado Coração de Jesus</t>
  </si>
  <si>
    <t>Nova Boa Vista</t>
  </si>
  <si>
    <t>Nova Bréscia</t>
  </si>
  <si>
    <t xml:space="preserve">São João Batista </t>
  </si>
  <si>
    <t>Nova Candelária</t>
  </si>
  <si>
    <t>Nova Esperança do Sul</t>
  </si>
  <si>
    <t>Nova Hartz</t>
  </si>
  <si>
    <t>Nova Pádua</t>
  </si>
  <si>
    <t xml:space="preserve">Igreja de Santo Antônio </t>
  </si>
  <si>
    <t>Nova Palma</t>
  </si>
  <si>
    <t>Nova Petrópolis</t>
  </si>
  <si>
    <t>Igreja São José Operario</t>
  </si>
  <si>
    <t>Nova Prata</t>
  </si>
  <si>
    <t>Nova Ramada</t>
  </si>
  <si>
    <t>Nova Roma do Sul</t>
  </si>
  <si>
    <t>Igreja de São Pedro e São Paulo</t>
  </si>
  <si>
    <t>Nova Santa Rita</t>
  </si>
  <si>
    <t>Novo Barreiro</t>
  </si>
  <si>
    <t>Novo Cabrais</t>
  </si>
  <si>
    <t xml:space="preserve">Igreja de São Cláudio </t>
  </si>
  <si>
    <t>Novo Hamburgo</t>
  </si>
  <si>
    <t>Novo Machado</t>
  </si>
  <si>
    <t>Novo Tiradentes</t>
  </si>
  <si>
    <t>Novo Xingu</t>
  </si>
  <si>
    <t>Paim Filho</t>
  </si>
  <si>
    <t xml:space="preserve">Nossa Senhora do Caravaggio </t>
  </si>
  <si>
    <t>Palmares do Sul</t>
  </si>
  <si>
    <t>Palmeira das Missões</t>
  </si>
  <si>
    <t>Palmitinho</t>
  </si>
  <si>
    <t>Panambi</t>
  </si>
  <si>
    <t>Pantano Grande</t>
  </si>
  <si>
    <t>Paraí</t>
  </si>
  <si>
    <t xml:space="preserve">Igreja São Braz </t>
  </si>
  <si>
    <t>Paraíso do Sul</t>
  </si>
  <si>
    <t>Pareci Novo</t>
  </si>
  <si>
    <t>Parobé</t>
  </si>
  <si>
    <t>Passa-Sete</t>
  </si>
  <si>
    <t>Passo do Sobrado</t>
  </si>
  <si>
    <t xml:space="preserve">lgreja Nossa Senhora do Rosário </t>
  </si>
  <si>
    <t xml:space="preserve">Igreja Nossa Sra. da Conceição </t>
  </si>
  <si>
    <t>Paulo Bento</t>
  </si>
  <si>
    <t>São Bento</t>
  </si>
  <si>
    <t>Paverama</t>
  </si>
  <si>
    <t xml:space="preserve">Igreja Nossa Senhora do Rosário </t>
  </si>
  <si>
    <t>Pedras Altas</t>
  </si>
  <si>
    <t>Pedro Osório</t>
  </si>
  <si>
    <t>Pejuçara</t>
  </si>
  <si>
    <t>Igreja São Francisco de Paula</t>
  </si>
  <si>
    <t>Picada Café</t>
  </si>
  <si>
    <t>Igreja São Lourenço Martir</t>
  </si>
  <si>
    <t>Pinhal</t>
  </si>
  <si>
    <t>Pinhal da Serra</t>
  </si>
  <si>
    <t>Pinhal Grande</t>
  </si>
  <si>
    <t>Pinheirinho do Vale</t>
  </si>
  <si>
    <t>Pinheiro Machado</t>
  </si>
  <si>
    <t>Pinto Bandeira</t>
  </si>
  <si>
    <t>[3]</t>
  </si>
  <si>
    <t xml:space="preserve">Igreja Nossa Senhora da Pompeia </t>
  </si>
  <si>
    <t>Pirapó</t>
  </si>
  <si>
    <t>Piratini</t>
  </si>
  <si>
    <t>Planalto</t>
  </si>
  <si>
    <t>Nossa Senhora das Graças</t>
  </si>
  <si>
    <t>DETALHE, VISITAMOS ESSA CIDADE NOVAMENTEM EM 05/06/2026</t>
  </si>
  <si>
    <t>Poço das Antas</t>
  </si>
  <si>
    <t>Pontão</t>
  </si>
  <si>
    <t>Santo Antão</t>
  </si>
  <si>
    <t>Ponte Preta</t>
  </si>
  <si>
    <t>Nossa Senhora dos Navegantes</t>
  </si>
  <si>
    <t>Portão</t>
  </si>
  <si>
    <t>Igreja Nossa Senhora da Madre de Deus</t>
  </si>
  <si>
    <t>Porto Lucena</t>
  </si>
  <si>
    <t>Porto Mauá</t>
  </si>
  <si>
    <t>Porto Vera Cruz</t>
  </si>
  <si>
    <t>Porto Xavier</t>
  </si>
  <si>
    <t>Pouso Novo</t>
  </si>
  <si>
    <t>Igreja Santo Amtonio</t>
  </si>
  <si>
    <t>Presidente Lucena</t>
  </si>
  <si>
    <t>Igreja dos 3 mártires do RS</t>
  </si>
  <si>
    <t>Progresso</t>
  </si>
  <si>
    <t>Igreja Nossa Senhora Auxiliadora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</si>
  <si>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</si>
  <si>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</si>
  <si>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</si>
  <si>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</si>
  <si>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</si>
  <si>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</si>
  <si>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</si>
  <si>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</si>
  <si>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</si>
  <si>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</si>
  <si>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</si>
  <si>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</si>
  <si>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</si>
  <si>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</si>
  <si>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</si>
  <si>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 xml:space="preserve">Igreja Santa Rita </t>
  </si>
  <si>
    <t>Rolante</t>
  </si>
  <si>
    <t xml:space="preserve">Igreja da Nossa Senhora da Imaculada Conceição </t>
  </si>
  <si>
    <t>Ronda Alta</t>
  </si>
  <si>
    <t>Nossa Senhora  dos Navegantes</t>
  </si>
  <si>
    <t>Rondinha</t>
  </si>
  <si>
    <t>Nossa Senhora do Rosário</t>
  </si>
  <si>
    <t>Roque Gonzales</t>
  </si>
  <si>
    <t>Rosário do Sul</t>
  </si>
  <si>
    <t>Campanha Central</t>
  </si>
  <si>
    <t>Sagrada Família</t>
  </si>
  <si>
    <t>Saldanha Marinho</t>
  </si>
  <si>
    <t xml:space="preserve">Sagrado Coração de Jesus </t>
  </si>
  <si>
    <t>Salto do Jacuí</t>
  </si>
  <si>
    <t>Salvador das Missões</t>
  </si>
  <si>
    <t>Salvador do Sul</t>
  </si>
  <si>
    <t xml:space="preserve">Igreja dos Santos Reis </t>
  </si>
  <si>
    <t xml:space="preserve">São José Operário </t>
  </si>
  <si>
    <t>Santa Bárbara do Sul</t>
  </si>
  <si>
    <t>Igreja Santa Barbara</t>
  </si>
  <si>
    <t>Santa Cecília do Sul</t>
  </si>
  <si>
    <t xml:space="preserve">Santa Cecília </t>
  </si>
  <si>
    <t>Santa Clara do Sul</t>
  </si>
  <si>
    <t xml:space="preserve">Igreja São Francisco Xavier </t>
  </si>
  <si>
    <t>Santa Margarida do Sul</t>
  </si>
  <si>
    <t>Santa Maria do Herval</t>
  </si>
  <si>
    <t>Santa Tereza</t>
  </si>
  <si>
    <t>Igreja Santa Tereza</t>
  </si>
  <si>
    <t>Santa Vitória do Palmar</t>
  </si>
  <si>
    <t>Santana da Boa Vista</t>
  </si>
  <si>
    <t>Santana do Livramento</t>
  </si>
  <si>
    <t xml:space="preserve">Catedral Angelopolitana </t>
  </si>
  <si>
    <t>Santo Antônio da Patrulha</t>
  </si>
  <si>
    <t>Santo Antônio das Missões</t>
  </si>
  <si>
    <t>Santo Antônio do Palma</t>
  </si>
  <si>
    <t xml:space="preserve">Santo Antônio do Palma </t>
  </si>
  <si>
    <t>Santo Antônio do Planalto</t>
  </si>
  <si>
    <t xml:space="preserve">Santo Antonio </t>
  </si>
  <si>
    <t>Santo Augusto</t>
  </si>
  <si>
    <t>Santo Cristo</t>
  </si>
  <si>
    <t>Santo Expedito do Sul</t>
  </si>
  <si>
    <t>Santo Expedito</t>
  </si>
  <si>
    <t>São Borja</t>
  </si>
  <si>
    <t>São Domingos do Sul</t>
  </si>
  <si>
    <t>Igreja São Domingos</t>
  </si>
  <si>
    <t>São Francisco de Assis</t>
  </si>
  <si>
    <t>São Francisco de Paula</t>
  </si>
  <si>
    <t>Igreja de São Francisco de Paula</t>
  </si>
  <si>
    <t>São Gabriel</t>
  </si>
  <si>
    <t xml:space="preserve">Igreja São Jerónimo </t>
  </si>
  <si>
    <t>São João da Urtiga</t>
  </si>
  <si>
    <t>Cristo Rei</t>
  </si>
  <si>
    <t>São João do Polêsine</t>
  </si>
  <si>
    <t>São Jorge</t>
  </si>
  <si>
    <t>Igreja 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</si>
  <si>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</si>
  <si>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</si>
  <si>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</si>
  <si>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</si>
  <si>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</si>
  <si>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Igreja de São Jose</t>
  </si>
  <si>
    <t>São José do Ouro</t>
  </si>
  <si>
    <t>São Jose</t>
  </si>
  <si>
    <t>São José do Sul</t>
  </si>
  <si>
    <t xml:space="preserve">Igreja de São José </t>
  </si>
  <si>
    <t>São José dos Ausentes</t>
  </si>
  <si>
    <t>São Leopoldo</t>
  </si>
  <si>
    <t>São Lourenço do Sul</t>
  </si>
  <si>
    <t>São Luiz Gonzaga</t>
  </si>
  <si>
    <t xml:space="preserve">Igreja São Luiz Gonzaga </t>
  </si>
  <si>
    <t>São Marcos</t>
  </si>
  <si>
    <t>Igreja de 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</si>
  <si>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</si>
  <si>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</si>
  <si>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</si>
  <si>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</si>
  <si>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</si>
  <si>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</si>
  <si>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</si>
  <si>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</si>
  <si>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</si>
  <si>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</si>
  <si>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</si>
  <si>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</si>
  <si>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</si>
  <si>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Igreja São Valentim</t>
  </si>
  <si>
    <t>São Valério do Sul</t>
  </si>
  <si>
    <t>São Vendelino</t>
  </si>
  <si>
    <t>Igreja de São Vendelino</t>
  </si>
  <si>
    <t>São Vicente do Sul</t>
  </si>
  <si>
    <t>Sapiranga</t>
  </si>
  <si>
    <t>Sapucaia do Sul</t>
  </si>
  <si>
    <t>Sarandi</t>
  </si>
  <si>
    <t>Seberi</t>
  </si>
  <si>
    <t>Nossa Senhora da Paz</t>
  </si>
  <si>
    <t>Sede Nova</t>
  </si>
  <si>
    <t>Segredo</t>
  </si>
  <si>
    <t>Selbach</t>
  </si>
  <si>
    <t xml:space="preserve">Igreja São Tiago 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</si>
  <si>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</si>
  <si>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</si>
  <si>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</si>
  <si>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</si>
  <si>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</si>
  <si>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</si>
  <si>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</si>
  <si>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</si>
  <si>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 xml:space="preserve">Igreja São Caetano </t>
  </si>
  <si>
    <t>Silveira Martins</t>
  </si>
  <si>
    <t>Sinimbu</t>
  </si>
  <si>
    <t>Sobradinho</t>
  </si>
  <si>
    <t xml:space="preserve">Igreja Nossa Senhora da Soledade </t>
  </si>
  <si>
    <t>Tabaí</t>
  </si>
  <si>
    <t>Tapejara</t>
  </si>
  <si>
    <t xml:space="preserve">Nossa Senhora da Saúde </t>
  </si>
  <si>
    <t>Tapera</t>
  </si>
  <si>
    <t xml:space="preserve">Nossa Senhora do Rosário de Pompeia </t>
  </si>
  <si>
    <t>Tapes</t>
  </si>
  <si>
    <t>Igreja Nosso Senhora do Carnot</t>
  </si>
  <si>
    <t>Taquara</t>
  </si>
  <si>
    <t>Igreja do Senhor Jesus</t>
  </si>
  <si>
    <t>Taquari</t>
  </si>
  <si>
    <t>Igreja São José</t>
  </si>
  <si>
    <t>Taquaruçu do Sul</t>
  </si>
  <si>
    <t>Tavares</t>
  </si>
  <si>
    <t>Tenente Portela</t>
  </si>
  <si>
    <t>Terra de Areia</t>
  </si>
  <si>
    <t>Teutônia</t>
  </si>
  <si>
    <t>Igreja do Cristo Rei</t>
  </si>
  <si>
    <t>Tio Hugo</t>
  </si>
  <si>
    <t xml:space="preserve">igreja são Cristóvão </t>
  </si>
  <si>
    <t>Tiradentes do Sul</t>
  </si>
  <si>
    <t>Toropi</t>
  </si>
  <si>
    <t>Torres</t>
  </si>
  <si>
    <t xml:space="preserve">Igreja São Domingos </t>
  </si>
  <si>
    <t>Tramandaí</t>
  </si>
  <si>
    <t>Igreja Nossa Senhora dos Navegantes</t>
  </si>
  <si>
    <t>Travesseiro</t>
  </si>
  <si>
    <t>Três Arroios</t>
  </si>
  <si>
    <t xml:space="preserve">Igreja Santa Isabel da Hungria </t>
  </si>
  <si>
    <t>Três Cachoeiras</t>
  </si>
  <si>
    <t>Três Coroas</t>
  </si>
  <si>
    <t>Três de Maio</t>
  </si>
  <si>
    <t>Três Forquilhas</t>
  </si>
  <si>
    <t xml:space="preserve">Igreja São Sebastião Guaianazes </t>
  </si>
  <si>
    <t>Três Palmeiras</t>
  </si>
  <si>
    <t>Imaculado Coração de Maria</t>
  </si>
  <si>
    <t>Trindade do Sul</t>
  </si>
  <si>
    <t xml:space="preserve"> Nossa Senhora Aparecida</t>
  </si>
  <si>
    <t>Triunfo</t>
  </si>
  <si>
    <t xml:space="preserve">Igreja do Bom Jesus </t>
  </si>
  <si>
    <t>Tucunduva</t>
  </si>
  <si>
    <t>Tunas</t>
  </si>
  <si>
    <t>Tupanci do Sul</t>
  </si>
  <si>
    <t>Nossa Senhora da Saude</t>
  </si>
  <si>
    <t>Tupanciretã</t>
  </si>
  <si>
    <t>Tupandi</t>
  </si>
  <si>
    <t>Igreja do Cristo Redentor</t>
  </si>
  <si>
    <t>Tuparendi</t>
  </si>
  <si>
    <t>Turuçu</t>
  </si>
  <si>
    <t>Ubiretama</t>
  </si>
  <si>
    <t>União da Serra</t>
  </si>
  <si>
    <t>Unistalda</t>
  </si>
  <si>
    <t>Uruguaiana</t>
  </si>
  <si>
    <t xml:space="preserve">Igreja Nossa Senhora da Oliveira </t>
  </si>
  <si>
    <t>Vale do Sol</t>
  </si>
  <si>
    <t>Vale Real</t>
  </si>
  <si>
    <t>Vale Verde</t>
  </si>
  <si>
    <t>Vanini</t>
  </si>
  <si>
    <t>Igreja São Braz</t>
  </si>
  <si>
    <t>Venâncio Aires</t>
  </si>
  <si>
    <t xml:space="preserve">São Sebastião mártir </t>
  </si>
  <si>
    <t>Vera Cruz</t>
  </si>
  <si>
    <t xml:space="preserve">Igreja Santa Tereza </t>
  </si>
  <si>
    <t>Veranópolis</t>
  </si>
  <si>
    <t>Vespasiano Corrêa</t>
  </si>
  <si>
    <t>Viadutos</t>
  </si>
  <si>
    <t>Viamão</t>
  </si>
  <si>
    <t>Vicente Dutra</t>
  </si>
  <si>
    <t>Victor Graeff</t>
  </si>
  <si>
    <t xml:space="preserve">igreja Imaculado Coração de Maria </t>
  </si>
  <si>
    <t>Vila Flores</t>
  </si>
  <si>
    <t>Vila Lângaro</t>
  </si>
  <si>
    <t xml:space="preserve">Nossa senhora do rosário 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</si>
  <si>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</si>
  <si>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</si>
  <si>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</si>
  <si>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</si>
  <si>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</si>
  <si>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</si>
  <si>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 xml:space="preserve">Igreja Nossa Senhora das Missões </t>
  </si>
  <si>
    <t>Westfália</t>
  </si>
  <si>
    <t>Xangri-lá</t>
  </si>
  <si>
    <t>Posição</t>
  </si>
  <si>
    <t>Município</t>
  </si>
  <si>
    <t>Área (km²)[1]</t>
  </si>
  <si>
    <t>% do
estado</t>
  </si>
  <si>
    <t>area</t>
  </si>
  <si>
    <t>municipios</t>
  </si>
  <si>
    <t>Municípios</t>
  </si>
  <si>
    <t>População</t>
  </si>
  <si>
    <t>%</t>
  </si>
  <si>
    <t>Até</t>
  </si>
  <si>
    <t>Acima</t>
  </si>
  <si>
    <t>Restinga Sêca</t>
  </si>
  <si>
    <t>Sant'Ana do Livramento</t>
  </si>
  <si>
    <t>Nossa Senhora da Imaculada Conceição</t>
  </si>
  <si>
    <t>São Vicente Ferrer</t>
  </si>
  <si>
    <t>São Pedro</t>
  </si>
  <si>
    <t>Nossa Senhora da Conceição</t>
  </si>
  <si>
    <t>Nossa senhora da Pompeia</t>
  </si>
  <si>
    <t>São Bonifácio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</si>
</sst>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0">
    <font>
      <sz val="10"/>
      <color rgb="FF000000"/>
      <name val="Arial"/>
      <scheme val="minor"/>
    </font>
    <font>
      <b/>
      <sz val="11"/>
      <color rgb="FF222222"/>
      <name val="Arial"/>
      <family val="2"/>
    </font>
    <font>
      <b/>
      <sz val="11"/>
      <color rgb="FF222222"/>
      <name val="Sans-serif"/>
    </font>
    <font>
      <sz val="11"/>
      <color rgb="FF222222"/>
      <name val="Sans-serif"/>
    </font>
    <font>
      <b/>
      <u/>
      <sz val="11"/>
      <color rgb="FF222222"/>
      <name val="Sans-serif"/>
    </font>
    <font>
      <b/>
      <u/>
      <sz val="11"/>
      <color rgb="FF222222"/>
      <name val="Sans-serif"/>
    </font>
    <font>
      <sz val="11"/>
      <color rgb="FF222222"/>
      <name val="Arial"/>
      <family val="2"/>
    </font>
    <font>
      <u/>
      <sz val="11"/>
      <color rgb="FF222222"/>
      <name val="Sans-serif"/>
    </font>
    <font>
      <sz val="11"/>
      <color rgb="FF0B0080"/>
      <name val="Sans-serif"/>
    </font>
    <font>
      <u/>
      <sz val="11"/>
      <color rgb="FF0B0080"/>
      <name val="Sans-serif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1"/>
      <color rgb="FF222222"/>
      <name val="Sans-serif"/>
    </font>
    <font>
      <b/>
      <sz val="11"/>
      <color rgb="FF0B0080"/>
      <name val="Sans-serif"/>
    </font>
    <font>
      <b/>
      <u/>
      <sz val="11"/>
      <color rgb="FF0B0080"/>
      <name val="Sans-serif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1"/>
      <color rgb="FF222222"/>
      <name val="Sans-serif"/>
    </font>
    <font>
      <u/>
      <sz val="11"/>
      <color rgb="FF0B0080"/>
      <name val="Sans-serif"/>
    </font>
    <font>
      <u/>
      <sz val="11"/>
      <color rgb="FF222222"/>
      <name val="Sans-serif"/>
    </font>
    <font>
      <u/>
      <sz val="11"/>
      <color rgb="FF0B0080"/>
      <name val="Sans-serif"/>
    </font>
    <font>
      <b/>
      <u/>
      <sz val="11"/>
      <color rgb="FF222222"/>
      <name val="Sans-serif"/>
    </font>
    <font>
      <b/>
      <u/>
      <sz val="11"/>
      <color rgb="FF0B0080"/>
      <name val="Sans-serif"/>
    </font>
    <font>
      <b/>
      <u/>
      <sz val="11"/>
      <color rgb="FF222222"/>
      <name val="Sans-serif"/>
    </font>
    <font>
      <b/>
      <u/>
      <sz val="11"/>
      <color rgb="FF0B0080"/>
      <name val="Sans-serif"/>
    </font>
    <font>
      <b/>
      <u/>
      <sz val="11"/>
      <color rgb="FF222222"/>
      <name val="Sans-serif"/>
    </font>
    <font>
      <b/>
      <u/>
      <sz val="11"/>
      <color rgb="FF0B0080"/>
      <name val="Sans-serif"/>
    </font>
    <font>
      <u/>
      <sz val="11"/>
      <color rgb="FF222222"/>
      <name val="Sans-serif"/>
    </font>
    <font>
      <u/>
      <sz val="11"/>
      <color rgb="FF0B0080"/>
      <name val="Sans-serif"/>
    </font>
    <font>
      <b/>
      <u/>
      <sz val="8"/>
      <color rgb="FF0B0080"/>
      <name val="Sans-serif"/>
    </font>
    <font>
      <b/>
      <u/>
      <sz val="11"/>
      <color rgb="FF222222"/>
      <name val="Sans-serif"/>
    </font>
    <font>
      <b/>
      <u/>
      <sz val="11"/>
      <color rgb="FF0B0080"/>
      <name val="Sans-serif"/>
    </font>
    <font>
      <u/>
      <sz val="11"/>
      <color rgb="FFA55858"/>
      <name val="Sans-serif"/>
    </font>
    <font>
      <sz val="11"/>
      <color rgb="FF0B0080"/>
      <name val="Arial"/>
      <family val="2"/>
    </font>
    <font>
      <u/>
      <sz val="11"/>
      <color rgb="FF222222"/>
      <name val="Sans-serif"/>
    </font>
    <font>
      <u/>
      <sz val="11"/>
      <color rgb="FF0B0080"/>
      <name val="Sans-serif"/>
    </font>
    <font>
      <b/>
      <sz val="11"/>
      <color rgb="FF202122"/>
      <name val="Sans-serif"/>
    </font>
    <font>
      <b/>
      <u/>
      <sz val="11"/>
      <color rgb="FF202122"/>
      <name val="Sans-serif"/>
    </font>
    <font>
      <sz val="11"/>
      <color rgb="FF202122"/>
      <name val="Sans-serif"/>
    </font>
    <font>
      <u/>
      <sz val="11"/>
      <color rgb="FF0645AD"/>
      <name val="Sans-serif"/>
    </font>
  </fonts>
  <fills count="11">
    <fill>
      <patternFill patternType="none"/>
    </fill>
    <fill>
      <patternFill patternType="gray125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0" fontId="6" fillId="3" borderId="0" xfId="0" applyFont="1" applyFill="1"/>
    <xf numFmtId="0" fontId="3" fillId="3" borderId="0" xfId="0" applyFont="1" applyFill="1"/>
    <xf numFmtId="0" fontId="7" fillId="3" borderId="0" xfId="0" applyFont="1" applyFill="1"/>
    <xf numFmtId="3" fontId="3" fillId="3" borderId="0" xfId="0" applyNumberFormat="1" applyFont="1" applyFill="1"/>
    <xf numFmtId="10" fontId="8" fillId="0" borderId="0" xfId="0" applyNumberFormat="1" applyFont="1"/>
    <xf numFmtId="4" fontId="8" fillId="0" borderId="0" xfId="0" applyNumberFormat="1" applyFont="1"/>
    <xf numFmtId="0" fontId="9" fillId="0" borderId="0" xfId="0" applyFont="1"/>
    <xf numFmtId="0" fontId="11" fillId="4" borderId="0" xfId="0" applyFont="1" applyFill="1"/>
    <xf numFmtId="0" fontId="2" fillId="5" borderId="0" xfId="0" applyFont="1" applyFill="1"/>
    <xf numFmtId="0" fontId="12" fillId="5" borderId="0" xfId="0" applyFont="1" applyFill="1"/>
    <xf numFmtId="3" fontId="2" fillId="5" borderId="0" xfId="0" applyNumberFormat="1" applyFont="1" applyFill="1"/>
    <xf numFmtId="10" fontId="13" fillId="5" borderId="0" xfId="0" applyNumberFormat="1" applyFont="1" applyFill="1"/>
    <xf numFmtId="4" fontId="13" fillId="5" borderId="0" xfId="0" applyNumberFormat="1" applyFont="1" applyFill="1"/>
    <xf numFmtId="0" fontId="14" fillId="5" borderId="0" xfId="0" applyFont="1" applyFill="1"/>
    <xf numFmtId="164" fontId="15" fillId="5" borderId="0" xfId="0" applyNumberFormat="1" applyFont="1" applyFill="1"/>
    <xf numFmtId="0" fontId="15" fillId="5" borderId="0" xfId="0" applyFont="1" applyFill="1"/>
    <xf numFmtId="0" fontId="16" fillId="4" borderId="0" xfId="0" applyFont="1" applyFill="1"/>
    <xf numFmtId="10" fontId="16" fillId="4" borderId="0" xfId="0" applyNumberFormat="1" applyFont="1" applyFill="1"/>
    <xf numFmtId="0" fontId="15" fillId="6" borderId="0" xfId="0" applyFont="1" applyFill="1"/>
    <xf numFmtId="0" fontId="3" fillId="6" borderId="0" xfId="0" applyFont="1" applyFill="1"/>
    <xf numFmtId="0" fontId="17" fillId="6" borderId="0" xfId="0" applyFont="1" applyFill="1"/>
    <xf numFmtId="3" fontId="3" fillId="6" borderId="0" xfId="0" applyNumberFormat="1" applyFont="1" applyFill="1"/>
    <xf numFmtId="10" fontId="8" fillId="6" borderId="0" xfId="0" applyNumberFormat="1" applyFont="1" applyFill="1"/>
    <xf numFmtId="4" fontId="8" fillId="6" borderId="0" xfId="0" applyNumberFormat="1" applyFont="1" applyFill="1"/>
    <xf numFmtId="0" fontId="18" fillId="6" borderId="0" xfId="0" applyFont="1" applyFill="1"/>
    <xf numFmtId="164" fontId="10" fillId="6" borderId="0" xfId="0" applyNumberFormat="1" applyFont="1" applyFill="1"/>
    <xf numFmtId="0" fontId="10" fillId="6" borderId="0" xfId="0" applyFont="1" applyFill="1"/>
    <xf numFmtId="10" fontId="11" fillId="4" borderId="0" xfId="0" applyNumberFormat="1" applyFont="1" applyFill="1"/>
    <xf numFmtId="0" fontId="10" fillId="0" borderId="0" xfId="0" applyFont="1"/>
    <xf numFmtId="3" fontId="6" fillId="3" borderId="0" xfId="0" applyNumberFormat="1" applyFont="1" applyFill="1"/>
    <xf numFmtId="0" fontId="6" fillId="7" borderId="0" xfId="0" applyFont="1" applyFill="1"/>
    <xf numFmtId="0" fontId="3" fillId="7" borderId="0" xfId="0" applyFont="1" applyFill="1"/>
    <xf numFmtId="0" fontId="19" fillId="7" borderId="0" xfId="0" applyFont="1" applyFill="1"/>
    <xf numFmtId="3" fontId="3" fillId="7" borderId="0" xfId="0" applyNumberFormat="1" applyFont="1" applyFill="1"/>
    <xf numFmtId="10" fontId="8" fillId="7" borderId="0" xfId="0" applyNumberFormat="1" applyFont="1" applyFill="1"/>
    <xf numFmtId="4" fontId="8" fillId="7" borderId="0" xfId="0" applyNumberFormat="1" applyFont="1" applyFill="1"/>
    <xf numFmtId="0" fontId="20" fillId="7" borderId="0" xfId="0" applyFont="1" applyFill="1"/>
    <xf numFmtId="0" fontId="10" fillId="7" borderId="0" xfId="0" applyFont="1" applyFill="1"/>
    <xf numFmtId="0" fontId="11" fillId="7" borderId="0" xfId="0" applyFont="1" applyFill="1"/>
    <xf numFmtId="164" fontId="10" fillId="7" borderId="0" xfId="0" applyNumberFormat="1" applyFont="1" applyFill="1"/>
    <xf numFmtId="0" fontId="2" fillId="6" borderId="0" xfId="0" applyFont="1" applyFill="1"/>
    <xf numFmtId="0" fontId="21" fillId="6" borderId="0" xfId="0" applyFont="1" applyFill="1"/>
    <xf numFmtId="3" fontId="2" fillId="6" borderId="0" xfId="0" applyNumberFormat="1" applyFont="1" applyFill="1"/>
    <xf numFmtId="10" fontId="13" fillId="6" borderId="0" xfId="0" applyNumberFormat="1" applyFont="1" applyFill="1"/>
    <xf numFmtId="4" fontId="13" fillId="6" borderId="0" xfId="0" applyNumberFormat="1" applyFont="1" applyFill="1"/>
    <xf numFmtId="0" fontId="22" fillId="6" borderId="0" xfId="0" applyFont="1" applyFill="1"/>
    <xf numFmtId="164" fontId="15" fillId="6" borderId="0" xfId="0" applyNumberFormat="1" applyFont="1" applyFill="1"/>
    <xf numFmtId="0" fontId="6" fillId="5" borderId="0" xfId="0" applyFont="1" applyFill="1"/>
    <xf numFmtId="0" fontId="2" fillId="0" borderId="0" xfId="0" applyFont="1"/>
    <xf numFmtId="0" fontId="23" fillId="0" borderId="0" xfId="0" applyFont="1"/>
    <xf numFmtId="3" fontId="2" fillId="0" borderId="0" xfId="0" applyNumberFormat="1" applyFont="1"/>
    <xf numFmtId="10" fontId="13" fillId="0" borderId="0" xfId="0" applyNumberFormat="1" applyFont="1"/>
    <xf numFmtId="4" fontId="13" fillId="0" borderId="0" xfId="0" applyNumberFormat="1" applyFont="1"/>
    <xf numFmtId="0" fontId="24" fillId="0" borderId="0" xfId="0" applyFont="1"/>
    <xf numFmtId="0" fontId="15" fillId="0" borderId="0" xfId="0" applyFont="1"/>
    <xf numFmtId="0" fontId="6" fillId="8" borderId="0" xfId="0" applyFont="1" applyFill="1"/>
    <xf numFmtId="0" fontId="2" fillId="8" borderId="0" xfId="0" applyFont="1" applyFill="1"/>
    <xf numFmtId="0" fontId="25" fillId="8" borderId="0" xfId="0" applyFont="1" applyFill="1"/>
    <xf numFmtId="3" fontId="2" fillId="8" borderId="0" xfId="0" applyNumberFormat="1" applyFont="1" applyFill="1"/>
    <xf numFmtId="10" fontId="13" fillId="8" borderId="0" xfId="0" applyNumberFormat="1" applyFont="1" applyFill="1"/>
    <xf numFmtId="4" fontId="13" fillId="8" borderId="0" xfId="0" applyNumberFormat="1" applyFont="1" applyFill="1"/>
    <xf numFmtId="0" fontId="26" fillId="8" borderId="0" xfId="0" applyFont="1" applyFill="1"/>
    <xf numFmtId="164" fontId="15" fillId="8" borderId="0" xfId="0" applyNumberFormat="1" applyFont="1" applyFill="1"/>
    <xf numFmtId="0" fontId="15" fillId="8" borderId="0" xfId="0" applyFont="1" applyFill="1"/>
    <xf numFmtId="164" fontId="10" fillId="0" borderId="0" xfId="0" applyNumberFormat="1" applyFont="1"/>
    <xf numFmtId="0" fontId="3" fillId="5" borderId="0" xfId="0" applyFont="1" applyFill="1"/>
    <xf numFmtId="0" fontId="27" fillId="5" borderId="0" xfId="0" applyFont="1" applyFill="1"/>
    <xf numFmtId="3" fontId="3" fillId="5" borderId="0" xfId="0" applyNumberFormat="1" applyFont="1" applyFill="1"/>
    <xf numFmtId="10" fontId="8" fillId="5" borderId="0" xfId="0" applyNumberFormat="1" applyFont="1" applyFill="1"/>
    <xf numFmtId="4" fontId="8" fillId="5" borderId="0" xfId="0" applyNumberFormat="1" applyFont="1" applyFill="1"/>
    <xf numFmtId="0" fontId="28" fillId="5" borderId="0" xfId="0" applyFont="1" applyFill="1"/>
    <xf numFmtId="164" fontId="10" fillId="5" borderId="0" xfId="0" applyNumberFormat="1" applyFont="1" applyFill="1"/>
    <xf numFmtId="0" fontId="10" fillId="5" borderId="0" xfId="0" applyFont="1" applyFill="1"/>
    <xf numFmtId="0" fontId="6" fillId="6" borderId="0" xfId="0" applyFont="1" applyFill="1"/>
    <xf numFmtId="0" fontId="11" fillId="6" borderId="0" xfId="0" applyFont="1" applyFill="1"/>
    <xf numFmtId="0" fontId="8" fillId="0" borderId="0" xfId="0" applyFont="1"/>
    <xf numFmtId="3" fontId="29" fillId="6" borderId="0" xfId="0" applyNumberFormat="1" applyFont="1" applyFill="1"/>
    <xf numFmtId="0" fontId="2" fillId="9" borderId="0" xfId="0" applyFont="1" applyFill="1"/>
    <xf numFmtId="0" fontId="30" fillId="9" borderId="0" xfId="0" applyFont="1" applyFill="1"/>
    <xf numFmtId="3" fontId="2" fillId="9" borderId="0" xfId="0" applyNumberFormat="1" applyFont="1" applyFill="1"/>
    <xf numFmtId="10" fontId="13" fillId="9" borderId="0" xfId="0" applyNumberFormat="1" applyFont="1" applyFill="1"/>
    <xf numFmtId="4" fontId="13" fillId="9" borderId="0" xfId="0" applyNumberFormat="1" applyFont="1" applyFill="1"/>
    <xf numFmtId="0" fontId="31" fillId="9" borderId="0" xfId="0" applyFont="1" applyFill="1"/>
    <xf numFmtId="164" fontId="15" fillId="9" borderId="0" xfId="0" applyNumberFormat="1" applyFont="1" applyFill="1"/>
    <xf numFmtId="0" fontId="15" fillId="9" borderId="0" xfId="0" applyFont="1" applyFill="1"/>
    <xf numFmtId="0" fontId="32" fillId="6" borderId="0" xfId="0" applyFont="1" applyFill="1"/>
    <xf numFmtId="4" fontId="33" fillId="0" borderId="0" xfId="0" applyNumberFormat="1" applyFont="1"/>
    <xf numFmtId="0" fontId="3" fillId="10" borderId="0" xfId="0" applyFont="1" applyFill="1"/>
    <xf numFmtId="0" fontId="34" fillId="10" borderId="0" xfId="0" applyFont="1" applyFill="1"/>
    <xf numFmtId="3" fontId="3" fillId="10" borderId="0" xfId="0" applyNumberFormat="1" applyFont="1" applyFill="1"/>
    <xf numFmtId="10" fontId="8" fillId="10" borderId="0" xfId="0" applyNumberFormat="1" applyFont="1" applyFill="1"/>
    <xf numFmtId="4" fontId="8" fillId="10" borderId="0" xfId="0" applyNumberFormat="1" applyFont="1" applyFill="1"/>
    <xf numFmtId="0" fontId="35" fillId="10" borderId="0" xfId="0" applyFont="1" applyFill="1"/>
    <xf numFmtId="0" fontId="10" fillId="10" borderId="0" xfId="0" applyFont="1" applyFill="1"/>
    <xf numFmtId="3" fontId="10" fillId="0" borderId="0" xfId="0" applyNumberFormat="1" applyFont="1"/>
    <xf numFmtId="0" fontId="36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0" fontId="10" fillId="0" borderId="0" xfId="0" applyFont="1" applyAlignment="1">
      <alignment horizontal="right"/>
    </xf>
    <xf numFmtId="0" fontId="38" fillId="3" borderId="0" xfId="0" applyFont="1" applyFill="1" applyAlignment="1">
      <alignment horizontal="center"/>
    </xf>
    <xf numFmtId="0" fontId="39" fillId="0" borderId="0" xfId="0" applyFont="1" applyAlignment="1">
      <alignment horizontal="left"/>
    </xf>
    <xf numFmtId="4" fontId="10" fillId="0" borderId="0" xfId="0" applyNumberFormat="1" applyFont="1"/>
    <xf numFmtId="3" fontId="10" fillId="0" borderId="0" xfId="0" applyNumberFormat="1" applyFont="1" applyAlignment="1">
      <alignment horizontal="right"/>
    </xf>
    <xf numFmtId="10" fontId="10" fillId="0" borderId="0" xfId="0" applyNumberFormat="1" applyFont="1"/>
    <xf numFmtId="164" fontId="1" fillId="2" borderId="0" xfId="0" applyNumberFormat="1" applyFont="1" applyFill="1" applyAlignment="1">
      <alignment horizontal="center"/>
    </xf>
    <xf numFmtId="164" fontId="10" fillId="0" borderId="0" xfId="0" applyNumberFormat="1" applyFont="1" applyAlignment="1">
      <alignment horizontal="center"/>
    </xf>
    <xf numFmtId="164" fontId="0" fillId="0" borderId="0" xfId="0" applyNumberFormat="1"/>
    <xf numFmtId="164" fontId="15" fillId="0" borderId="0" xfId="0" applyNumberFormat="1" applyFont="1"/>
    <xf numFmtId="164" fontId="10" fillId="1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pt.wikipedia.org/wiki/Alegria_(Rio_Grande_do_Sul)" TargetMode="External"/><Relationship Id="rId170" Type="http://schemas.openxmlformats.org/officeDocument/2006/relationships/hyperlink" Target="https://pt.wikipedia.org/wiki/Mesorregi%C3%A3o_do_Noroeste_Rio-Grandense" TargetMode="External"/><Relationship Id="rId268" Type="http://schemas.openxmlformats.org/officeDocument/2006/relationships/hyperlink" Target="https://pt.wikipedia.org/wiki/Microrregi%C3%A3o_de_Os%C3%B3rio" TargetMode="External"/><Relationship Id="rId475" Type="http://schemas.openxmlformats.org/officeDocument/2006/relationships/hyperlink" Target="https://pt.wikipedia.org/wiki/Mesorregi%C3%A3o_do_Centro_Oriental_Rio-Grandense" TargetMode="External"/><Relationship Id="rId682" Type="http://schemas.openxmlformats.org/officeDocument/2006/relationships/hyperlink" Target="https://pt.wikipedia.org/wiki/Mesorregi%C3%A3o_do_Centro_Ocidental_Rio-Grandense" TargetMode="External"/><Relationship Id="rId128" Type="http://schemas.openxmlformats.org/officeDocument/2006/relationships/hyperlink" Target="https://pt.wikipedia.org/wiki/Mesorregi%C3%A3o_do_Noroeste_Rio-Grandense" TargetMode="External"/><Relationship Id="rId335" Type="http://schemas.openxmlformats.org/officeDocument/2006/relationships/hyperlink" Target="https://pt.wikipedia.org/wiki/Colorado_(Rio_Grande_do_Sul)" TargetMode="External"/><Relationship Id="rId542" Type="http://schemas.openxmlformats.org/officeDocument/2006/relationships/hyperlink" Target="https://pt.wikipedia.org/wiki/Glorinha" TargetMode="External"/><Relationship Id="rId987" Type="http://schemas.openxmlformats.org/officeDocument/2006/relationships/hyperlink" Target="https://pt.wikipedia.org/wiki/Porto_Vera_Cruz" TargetMode="External"/><Relationship Id="rId1172" Type="http://schemas.openxmlformats.org/officeDocument/2006/relationships/hyperlink" Target="https://pt.wikipedia.org/wiki/Mesorregi%C3%A3o_do_Nordeste_Rio-Grandense" TargetMode="External"/><Relationship Id="rId402" Type="http://schemas.openxmlformats.org/officeDocument/2006/relationships/hyperlink" Target="https://pt.wikipedia.org/wiki/Microrregi%C3%A3o_de_Guapor%C3%A9" TargetMode="External"/><Relationship Id="rId847" Type="http://schemas.openxmlformats.org/officeDocument/2006/relationships/hyperlink" Target="https://pt.wikipedia.org/wiki/Mesorregi%C3%A3o_do_Nordeste_Rio-Grandense" TargetMode="External"/><Relationship Id="rId1032" Type="http://schemas.openxmlformats.org/officeDocument/2006/relationships/hyperlink" Target="https://pt.wikipedia.org/wiki/Rio_Grande_(Rio_Grande_do_Sul)" TargetMode="External"/><Relationship Id="rId1477" Type="http://schemas.openxmlformats.org/officeDocument/2006/relationships/hyperlink" Target="https://pt.wikipedia.org/wiki/Microrregi%C3%A3o_de_Frederico_Westphalen" TargetMode="External"/><Relationship Id="rId707" Type="http://schemas.openxmlformats.org/officeDocument/2006/relationships/hyperlink" Target="https://pt.wikipedia.org/wiki/Lindolfo_Collor_(Rio_Grande_do_Sul)" TargetMode="External"/><Relationship Id="rId914" Type="http://schemas.openxmlformats.org/officeDocument/2006/relationships/hyperlink" Target="https://pt.wikipedia.org/wiki/Passo_Fundo" TargetMode="External"/><Relationship Id="rId1337" Type="http://schemas.openxmlformats.org/officeDocument/2006/relationships/hyperlink" Target="https://pt.wikipedia.org/wiki/Mesorregi%C3%A3o_Metropolitana_de_Porto_Alegre" TargetMode="External"/><Relationship Id="rId43" Type="http://schemas.openxmlformats.org/officeDocument/2006/relationships/hyperlink" Target="https://pt.wikipedia.org/wiki/Microrregi%C3%A3o_de_Frederico_Westphalen" TargetMode="External"/><Relationship Id="rId1404" Type="http://schemas.openxmlformats.org/officeDocument/2006/relationships/hyperlink" Target="https://pt.wikipedia.org/wiki/Tupandi" TargetMode="External"/><Relationship Id="rId192" Type="http://schemas.openxmlformats.org/officeDocument/2006/relationships/hyperlink" Target="https://pt.wikipedia.org/wiki/Caibat%C3%A9" TargetMode="External"/><Relationship Id="rId497" Type="http://schemas.openxmlformats.org/officeDocument/2006/relationships/hyperlink" Target="https://pt.wikipedia.org/wiki/Feliz" TargetMode="External"/><Relationship Id="rId357" Type="http://schemas.openxmlformats.org/officeDocument/2006/relationships/hyperlink" Target="https://pt.wikipedia.org/wiki/Microrregi%C3%A3o_de_Caxias_do_Sul" TargetMode="External"/><Relationship Id="rId1194" Type="http://schemas.openxmlformats.org/officeDocument/2006/relationships/hyperlink" Target="https://pt.wikipedia.org/wiki/S%C3%A3o_Jos%C3%A9_dos_Ausentes" TargetMode="External"/><Relationship Id="rId217" Type="http://schemas.openxmlformats.org/officeDocument/2006/relationships/hyperlink" Target="https://pt.wikipedia.org/wiki/Microrregi%C3%A3o_de_Porto_Alegre" TargetMode="External"/><Relationship Id="rId564" Type="http://schemas.openxmlformats.org/officeDocument/2006/relationships/hyperlink" Target="https://pt.wikipedia.org/wiki/Microrregi%C3%A3o_de_Guapor%C3%A9" TargetMode="External"/><Relationship Id="rId771" Type="http://schemas.openxmlformats.org/officeDocument/2006/relationships/hyperlink" Target="https://pt.wikipedia.org/wiki/Microrregi%C3%A3o_de_Vacaria" TargetMode="External"/><Relationship Id="rId869" Type="http://schemas.openxmlformats.org/officeDocument/2006/relationships/hyperlink" Target="https://pt.wikipedia.org/wiki/Novo_Tiradentes" TargetMode="External"/><Relationship Id="rId424" Type="http://schemas.openxmlformats.org/officeDocument/2006/relationships/hyperlink" Target="https://pt.wikipedia.org/wiki/Mesorregi%C3%A3o_Metropolitana_de_Porto_Alegre" TargetMode="External"/><Relationship Id="rId631" Type="http://schemas.openxmlformats.org/officeDocument/2006/relationships/hyperlink" Target="https://pt.wikipedia.org/wiki/Mesorregi%C3%A3o_do_Noroeste_Rio-Grandense" TargetMode="External"/><Relationship Id="rId729" Type="http://schemas.openxmlformats.org/officeDocument/2006/relationships/hyperlink" Target="https://pt.wikipedia.org/wiki/Microrregi%C3%A3o_de_Montenegro" TargetMode="External"/><Relationship Id="rId1054" Type="http://schemas.openxmlformats.org/officeDocument/2006/relationships/hyperlink" Target="https://pt.wikipedia.org/wiki/Microrregi%C3%A3o_de_Passo_Fundo" TargetMode="External"/><Relationship Id="rId1261" Type="http://schemas.openxmlformats.org/officeDocument/2006/relationships/hyperlink" Target="https://pt.wikipedia.org/wiki/Microrregi%C3%A3o_de_Porto_Alegre" TargetMode="External"/><Relationship Id="rId1359" Type="http://schemas.openxmlformats.org/officeDocument/2006/relationships/hyperlink" Target="https://pt.wikipedia.org/wiki/Tramanda%C3%AD" TargetMode="External"/><Relationship Id="rId936" Type="http://schemas.openxmlformats.org/officeDocument/2006/relationships/hyperlink" Target="https://pt.wikipedia.org/wiki/Microrregi%C3%A3o_de_Gramado-Canela" TargetMode="External"/><Relationship Id="rId1121" Type="http://schemas.openxmlformats.org/officeDocument/2006/relationships/hyperlink" Target="https://pt.wikipedia.org/wiki/Mesorregi%C3%A3o_do_Centro_Ocidental_Rio-Grandense" TargetMode="External"/><Relationship Id="rId1219" Type="http://schemas.openxmlformats.org/officeDocument/2006/relationships/hyperlink" Target="https://pt.wikipedia.org/wiki/Microrregi%C3%A3o_de_Santo_%C3%82ngelo" TargetMode="External"/><Relationship Id="rId65" Type="http://schemas.openxmlformats.org/officeDocument/2006/relationships/hyperlink" Target="https://pt.wikipedia.org/wiki/Mesorregi%C3%A3o_do_Centro_Oriental_Rio-Grandense" TargetMode="External"/><Relationship Id="rId1426" Type="http://schemas.openxmlformats.org/officeDocument/2006/relationships/hyperlink" Target="https://pt.wikipedia.org/wiki/Microrregi%C3%A3o_de_Vacaria" TargetMode="External"/><Relationship Id="rId281" Type="http://schemas.openxmlformats.org/officeDocument/2006/relationships/hyperlink" Target="https://pt.wikipedia.org/wiki/Mesorregi%C3%A3o_do_Noroeste_Rio-Grandense" TargetMode="External"/><Relationship Id="rId141" Type="http://schemas.openxmlformats.org/officeDocument/2006/relationships/hyperlink" Target="https://pt.wikipedia.org/wiki/Boa_Vista_do_Incra" TargetMode="External"/><Relationship Id="rId379" Type="http://schemas.openxmlformats.org/officeDocument/2006/relationships/hyperlink" Target="https://pt.wikipedia.org/wiki/Mesorregi%C3%A3o_do_Noroeste_Rio-Grandense" TargetMode="External"/><Relationship Id="rId586" Type="http://schemas.openxmlformats.org/officeDocument/2006/relationships/hyperlink" Target="https://pt.wikipedia.org/wiki/Mesorregi%C3%A3o_do_Noroeste_Rio-Grandense" TargetMode="External"/><Relationship Id="rId793" Type="http://schemas.openxmlformats.org/officeDocument/2006/relationships/hyperlink" Target="https://pt.wikipedia.org/wiki/Mesorregi%C3%A3o_Metropolitana_de_Porto_Alegre" TargetMode="External"/><Relationship Id="rId7" Type="http://schemas.openxmlformats.org/officeDocument/2006/relationships/hyperlink" Target="https://pt.wikipedia.org/wiki/Microrregi%C3%A3o_de_Passo_Fundo" TargetMode="External"/><Relationship Id="rId239" Type="http://schemas.openxmlformats.org/officeDocument/2006/relationships/hyperlink" Target="https://pt.wikipedia.org/wiki/Mesorregi%C3%A3o_do_Sudeste_Rio-Grandense" TargetMode="External"/><Relationship Id="rId446" Type="http://schemas.openxmlformats.org/officeDocument/2006/relationships/hyperlink" Target="https://pt.wikipedia.org/wiki/Ernestina_(Rio_Grande_do_Sul)" TargetMode="External"/><Relationship Id="rId653" Type="http://schemas.openxmlformats.org/officeDocument/2006/relationships/hyperlink" Target="https://pt.wikipedia.org/wiki/Ivoti" TargetMode="External"/><Relationship Id="rId1076" Type="http://schemas.openxmlformats.org/officeDocument/2006/relationships/hyperlink" Target="https://pt.wikipedia.org/wiki/Mesorregi%C3%A3o_do_Noroeste_Rio-Grandense" TargetMode="External"/><Relationship Id="rId1283" Type="http://schemas.openxmlformats.org/officeDocument/2006/relationships/hyperlink" Target="https://pt.wikipedia.org/wiki/Mesorregi%C3%A3o_Metropolitana_de_Porto_Alegre" TargetMode="External"/><Relationship Id="rId1490" Type="http://schemas.openxmlformats.org/officeDocument/2006/relationships/hyperlink" Target="https://pt.wikipedia.org/wiki/Mesorregi%C3%A3o_do_Centro_Oriental_Rio-Grandense" TargetMode="External"/><Relationship Id="rId306" Type="http://schemas.openxmlformats.org/officeDocument/2006/relationships/hyperlink" Target="https://pt.wikipedia.org/wiki/Cerro_Largo_(Rio_Grande_do_Sul)" TargetMode="External"/><Relationship Id="rId860" Type="http://schemas.openxmlformats.org/officeDocument/2006/relationships/hyperlink" Target="https://pt.wikipedia.org/wiki/Novo_Cabrais" TargetMode="External"/><Relationship Id="rId958" Type="http://schemas.openxmlformats.org/officeDocument/2006/relationships/hyperlink" Target="https://pt.wikipedia.org/wiki/Microrregi%C3%A3o_de_Santo_%C3%82ngelo" TargetMode="External"/><Relationship Id="rId1143" Type="http://schemas.openxmlformats.org/officeDocument/2006/relationships/hyperlink" Target="https://pt.wikipedia.org/wiki/Santo_Expedito_do_Sul" TargetMode="External"/><Relationship Id="rId87" Type="http://schemas.openxmlformats.org/officeDocument/2006/relationships/hyperlink" Target="https://pt.wikipedia.org/wiki/%C3%81urea" TargetMode="External"/><Relationship Id="rId513" Type="http://schemas.openxmlformats.org/officeDocument/2006/relationships/hyperlink" Target="https://pt.wikipedia.org/wiki/Microrregi%C3%A3o_de_Lajeado-Estrela" TargetMode="External"/><Relationship Id="rId720" Type="http://schemas.openxmlformats.org/officeDocument/2006/relationships/hyperlink" Target="https://pt.wikipedia.org/wiki/Microrregi%C3%A3o_de_Os%C3%B3rio" TargetMode="External"/><Relationship Id="rId818" Type="http://schemas.openxmlformats.org/officeDocument/2006/relationships/hyperlink" Target="https://pt.wikipedia.org/wiki/Nova_Bassano" TargetMode="External"/><Relationship Id="rId1350" Type="http://schemas.openxmlformats.org/officeDocument/2006/relationships/hyperlink" Target="https://pt.wikipedia.org/wiki/Tiradentes_do_Sul" TargetMode="External"/><Relationship Id="rId1448" Type="http://schemas.openxmlformats.org/officeDocument/2006/relationships/hyperlink" Target="https://pt.wikipedia.org/wiki/Mesorregi%C3%A3o_do_Nordeste_Rio-Grandense" TargetMode="External"/><Relationship Id="rId1003" Type="http://schemas.openxmlformats.org/officeDocument/2006/relationships/hyperlink" Target="https://pt.wikipedia.org/wiki/Microrregi%C3%A3o_de_Guapor%C3%A9" TargetMode="External"/><Relationship Id="rId1210" Type="http://schemas.openxmlformats.org/officeDocument/2006/relationships/hyperlink" Target="https://pt.wikipedia.org/wiki/Microrregi%C3%A3o_de_Tr%C3%AAs_Passos" TargetMode="External"/><Relationship Id="rId1308" Type="http://schemas.openxmlformats.org/officeDocument/2006/relationships/hyperlink" Target="https://pt.wikipedia.org/wiki/Sobradinho_(Rio_Grande_do_Sul)" TargetMode="External"/><Relationship Id="rId14" Type="http://schemas.openxmlformats.org/officeDocument/2006/relationships/hyperlink" Target="https://pt.wikipedia.org/wiki/Mesorregi%C3%A3o_do_Noroeste_Rio-Grandense" TargetMode="External"/><Relationship Id="rId163" Type="http://schemas.openxmlformats.org/officeDocument/2006/relationships/hyperlink" Target="https://pt.wikipedia.org/wiki/Microrregi%C3%A3o_de_Santo_%C3%82ngelo" TargetMode="External"/><Relationship Id="rId370" Type="http://schemas.openxmlformats.org/officeDocument/2006/relationships/hyperlink" Target="https://pt.wikipedia.org/wiki/Mesorregi%C3%A3o_do_Sudeste_Rio-Grandense" TargetMode="External"/><Relationship Id="rId230" Type="http://schemas.openxmlformats.org/officeDocument/2006/relationships/hyperlink" Target="https://pt.wikipedia.org/wiki/Mesorregi%C3%A3o_do_Noroeste_Rio-Grandense" TargetMode="External"/><Relationship Id="rId468" Type="http://schemas.openxmlformats.org/officeDocument/2006/relationships/hyperlink" Target="https://pt.wikipedia.org/wiki/Microrregi%C3%A3o_de_Porto_Alegre" TargetMode="External"/><Relationship Id="rId675" Type="http://schemas.openxmlformats.org/officeDocument/2006/relationships/hyperlink" Target="https://pt.wikipedia.org/wiki/Microrregi%C3%A3o_de_Santiago" TargetMode="External"/><Relationship Id="rId882" Type="http://schemas.openxmlformats.org/officeDocument/2006/relationships/hyperlink" Target="https://pt.wikipedia.org/wiki/Microrregi%C3%A3o_de_Os%C3%B3rio" TargetMode="External"/><Relationship Id="rId1098" Type="http://schemas.openxmlformats.org/officeDocument/2006/relationships/hyperlink" Target="https://pt.wikipedia.org/wiki/Santa_Maria_(Rio_Grande_do_Sul)" TargetMode="External"/><Relationship Id="rId328" Type="http://schemas.openxmlformats.org/officeDocument/2006/relationships/hyperlink" Target="https://pt.wikipedia.org/wiki/Mesorregi%C3%A3o_Metropolitana_de_Porto_Alegre" TargetMode="External"/><Relationship Id="rId535" Type="http://schemas.openxmlformats.org/officeDocument/2006/relationships/hyperlink" Target="https://pt.wikipedia.org/wiki/Mesorregi%C3%A3o_do_Noroeste_Rio-Grandense" TargetMode="External"/><Relationship Id="rId742" Type="http://schemas.openxmlformats.org/officeDocument/2006/relationships/hyperlink" Target="https://pt.wikipedia.org/wiki/Mesorregi%C3%A3o_do_Noroeste_Rio-Grandense" TargetMode="External"/><Relationship Id="rId1165" Type="http://schemas.openxmlformats.org/officeDocument/2006/relationships/hyperlink" Target="https://pt.wikipedia.org/wiki/Microrregi%C3%A3o_de_Sananduva" TargetMode="External"/><Relationship Id="rId1372" Type="http://schemas.openxmlformats.org/officeDocument/2006/relationships/hyperlink" Target="https://pt.wikipedia.org/wiki/Microrregi%C3%A3o_de_Gramado-Canela" TargetMode="External"/><Relationship Id="rId602" Type="http://schemas.openxmlformats.org/officeDocument/2006/relationships/hyperlink" Target="https://pt.wikipedia.org/wiki/Igrejinha" TargetMode="External"/><Relationship Id="rId1025" Type="http://schemas.openxmlformats.org/officeDocument/2006/relationships/hyperlink" Target="https://pt.wikipedia.org/wiki/Mesorregi%C3%A3o_do_Centro_Oriental_Rio-Grandense" TargetMode="External"/><Relationship Id="rId1232" Type="http://schemas.openxmlformats.org/officeDocument/2006/relationships/hyperlink" Target="https://pt.wikipedia.org/wiki/Mesorregi%C3%A3o_do_Noroeste_Rio-Grandense" TargetMode="External"/><Relationship Id="rId907" Type="http://schemas.openxmlformats.org/officeDocument/2006/relationships/hyperlink" Target="https://pt.wikipedia.org/wiki/Mesorregi%C3%A3o_Metropolitana_de_Porto_Alegre" TargetMode="External"/><Relationship Id="rId36" Type="http://schemas.openxmlformats.org/officeDocument/2006/relationships/hyperlink" Target="https://pt.wikipedia.org/wiki/Alvorada_(Rio_Grande_do_Sul)" TargetMode="External"/><Relationship Id="rId185" Type="http://schemas.openxmlformats.org/officeDocument/2006/relationships/hyperlink" Target="https://pt.wikipedia.org/wiki/Mesorregi%C3%A3o_do_Centro_Oriental_Rio-Grandense" TargetMode="External"/><Relationship Id="rId392" Type="http://schemas.openxmlformats.org/officeDocument/2006/relationships/hyperlink" Target="https://pt.wikipedia.org/wiki/Dilermando_de_Aguiar" TargetMode="External"/><Relationship Id="rId697" Type="http://schemas.openxmlformats.org/officeDocument/2006/relationships/hyperlink" Target="https://pt.wikipedia.org/wiki/Mesorregi%C3%A3o_do_Centro_Oriental_Rio-Grandense" TargetMode="External"/><Relationship Id="rId252" Type="http://schemas.openxmlformats.org/officeDocument/2006/relationships/hyperlink" Target="https://pt.wikipedia.org/wiki/Cap%C3%A3o_do_Cip%C3%B3" TargetMode="External"/><Relationship Id="rId1187" Type="http://schemas.openxmlformats.org/officeDocument/2006/relationships/hyperlink" Target="https://pt.wikipedia.org/wiki/Mesorregi%C3%A3o_do_Sudeste_Rio-Grandense" TargetMode="External"/><Relationship Id="rId112" Type="http://schemas.openxmlformats.org/officeDocument/2006/relationships/hyperlink" Target="https://pt.wikipedia.org/wiki/Microrregi%C3%A3o_de_Camaqu%C3%A3" TargetMode="External"/><Relationship Id="rId557" Type="http://schemas.openxmlformats.org/officeDocument/2006/relationships/hyperlink" Target="https://pt.wikipedia.org/wiki/Guabiju" TargetMode="External"/><Relationship Id="rId764" Type="http://schemas.openxmlformats.org/officeDocument/2006/relationships/hyperlink" Target="https://pt.wikipedia.org/wiki/Miragua%C3%AD" TargetMode="External"/><Relationship Id="rId971" Type="http://schemas.openxmlformats.org/officeDocument/2006/relationships/hyperlink" Target="https://pt.wikipedia.org/wiki/Mesorregi%C3%A3o_do_Noroeste_Rio-Grandense" TargetMode="External"/><Relationship Id="rId1394" Type="http://schemas.openxmlformats.org/officeDocument/2006/relationships/hyperlink" Target="https://pt.wikipedia.org/wiki/Mesorregi%C3%A3o_do_Noroeste_Rio-Grandense" TargetMode="External"/><Relationship Id="rId417" Type="http://schemas.openxmlformats.org/officeDocument/2006/relationships/hyperlink" Target="https://pt.wikipedia.org/wiki/Microrregi%C3%A3o_de_Tr%C3%AAs_Passos" TargetMode="External"/><Relationship Id="rId624" Type="http://schemas.openxmlformats.org/officeDocument/2006/relationships/hyperlink" Target="https://pt.wikipedia.org/wiki/Microrregi%C3%A3o_de_Vacaria" TargetMode="External"/><Relationship Id="rId831" Type="http://schemas.openxmlformats.org/officeDocument/2006/relationships/hyperlink" Target="https://pt.wikipedia.org/wiki/Microrregi%C3%A3o_de_Santa_Maria" TargetMode="External"/><Relationship Id="rId1047" Type="http://schemas.openxmlformats.org/officeDocument/2006/relationships/hyperlink" Target="https://pt.wikipedia.org/wiki/Rolador" TargetMode="External"/><Relationship Id="rId1254" Type="http://schemas.openxmlformats.org/officeDocument/2006/relationships/hyperlink" Target="https://pt.wikipedia.org/wiki/S%C3%A3o_Vicente_do_Sul" TargetMode="External"/><Relationship Id="rId1461" Type="http://schemas.openxmlformats.org/officeDocument/2006/relationships/hyperlink" Target="https://pt.wikipedia.org/wiki/Victor_Graeff" TargetMode="External"/><Relationship Id="rId929" Type="http://schemas.openxmlformats.org/officeDocument/2006/relationships/hyperlink" Target="https://pt.wikipedia.org/wiki/Peju%C3%A7ara" TargetMode="External"/><Relationship Id="rId1114" Type="http://schemas.openxmlformats.org/officeDocument/2006/relationships/hyperlink" Target="https://pt.wikipedia.org/wiki/Microrregi%C3%A3o_das_Serras_de_Sudeste" TargetMode="External"/><Relationship Id="rId1321" Type="http://schemas.openxmlformats.org/officeDocument/2006/relationships/hyperlink" Target="https://pt.wikipedia.org/wiki/Microrregi%C3%A3o_de_N%C3%A3o-Me-Toque" TargetMode="External"/><Relationship Id="rId58" Type="http://schemas.openxmlformats.org/officeDocument/2006/relationships/hyperlink" Target="https://pt.wikipedia.org/wiki/Microrregi%C3%A3o_de_Porto_Alegre" TargetMode="External"/><Relationship Id="rId1419" Type="http://schemas.openxmlformats.org/officeDocument/2006/relationships/hyperlink" Target="https://pt.wikipedia.org/wiki/Unistalda" TargetMode="External"/><Relationship Id="rId274" Type="http://schemas.openxmlformats.org/officeDocument/2006/relationships/hyperlink" Target="https://pt.wikipedia.org/wiki/Microrregi%C3%A3o_de_Caxias_do_Sul" TargetMode="External"/><Relationship Id="rId481" Type="http://schemas.openxmlformats.org/officeDocument/2006/relationships/hyperlink" Target="https://pt.wikipedia.org/wiki/Mesorregi%C3%A3o_do_Noroeste_Rio-Grandense" TargetMode="External"/><Relationship Id="rId134" Type="http://schemas.openxmlformats.org/officeDocument/2006/relationships/hyperlink" Target="https://pt.wikipedia.org/wiki/Mesorregi%C3%A3o_do_Noroeste_Rio-Grandense" TargetMode="External"/><Relationship Id="rId579" Type="http://schemas.openxmlformats.org/officeDocument/2006/relationships/hyperlink" Target="https://pt.wikipedia.org/wiki/Microrregi%C3%A3o_de_Tr%C3%AAs_Passos" TargetMode="External"/><Relationship Id="rId786" Type="http://schemas.openxmlformats.org/officeDocument/2006/relationships/hyperlink" Target="https://pt.wikipedia.org/wiki/Microrregi%C3%A3o_de_Pelotas" TargetMode="External"/><Relationship Id="rId993" Type="http://schemas.openxmlformats.org/officeDocument/2006/relationships/hyperlink" Target="https://pt.wikipedia.org/wiki/Pouso_Novo" TargetMode="External"/><Relationship Id="rId341" Type="http://schemas.openxmlformats.org/officeDocument/2006/relationships/hyperlink" Target="https://pt.wikipedia.org/wiki/Constantina_(Rio_Grande_do_Sul)" TargetMode="External"/><Relationship Id="rId439" Type="http://schemas.openxmlformats.org/officeDocument/2006/relationships/hyperlink" Target="https://pt.wikipedia.org/wiki/Mesorregi%C3%A3o_do_Noroeste_Rio-Grandense" TargetMode="External"/><Relationship Id="rId646" Type="http://schemas.openxmlformats.org/officeDocument/2006/relationships/hyperlink" Target="https://pt.wikipedia.org/wiki/Mesorregi%C3%A3o_Metropolitana_de_Porto_Alegre" TargetMode="External"/><Relationship Id="rId1069" Type="http://schemas.openxmlformats.org/officeDocument/2006/relationships/hyperlink" Target="https://pt.wikipedia.org/wiki/Microrregi%C3%A3o_de_Cruz_Alta" TargetMode="External"/><Relationship Id="rId1276" Type="http://schemas.openxmlformats.org/officeDocument/2006/relationships/hyperlink" Target="https://pt.wikipedia.org/wiki/Microrregi%C3%A3o_de_N%C3%A3o-Me-Toque" TargetMode="External"/><Relationship Id="rId1483" Type="http://schemas.openxmlformats.org/officeDocument/2006/relationships/hyperlink" Target="https://pt.wikipedia.org/wiki/Microrregi%C3%A3o_de_Tr%C3%AAs_Passos" TargetMode="External"/><Relationship Id="rId201" Type="http://schemas.openxmlformats.org/officeDocument/2006/relationships/hyperlink" Target="https://pt.wikipedia.org/wiki/Camargo_(Rio_Grande_do_Sul)" TargetMode="External"/><Relationship Id="rId506" Type="http://schemas.openxmlformats.org/officeDocument/2006/relationships/hyperlink" Target="https://pt.wikipedia.org/wiki/Fontoura_Xavier" TargetMode="External"/><Relationship Id="rId853" Type="http://schemas.openxmlformats.org/officeDocument/2006/relationships/hyperlink" Target="https://pt.wikipedia.org/wiki/Mesorregi%C3%A3o_do_Nordeste_Rio-Grandense" TargetMode="External"/><Relationship Id="rId1136" Type="http://schemas.openxmlformats.org/officeDocument/2006/relationships/hyperlink" Target="https://pt.wikipedia.org/wiki/Mesorregi%C3%A3o_do_Noroeste_Rio-Grandense" TargetMode="External"/><Relationship Id="rId713" Type="http://schemas.openxmlformats.org/officeDocument/2006/relationships/hyperlink" Target="https://pt.wikipedia.org/wiki/Ma%C3%A7ambar%C3%A1" TargetMode="External"/><Relationship Id="rId920" Type="http://schemas.openxmlformats.org/officeDocument/2006/relationships/hyperlink" Target="https://pt.wikipedia.org/wiki/Paverama" TargetMode="External"/><Relationship Id="rId1343" Type="http://schemas.openxmlformats.org/officeDocument/2006/relationships/hyperlink" Target="https://pt.wikipedia.org/wiki/Mesorregi%C3%A3o_Metropolitana_de_Porto_Alegre" TargetMode="External"/><Relationship Id="rId1203" Type="http://schemas.openxmlformats.org/officeDocument/2006/relationships/hyperlink" Target="https://pt.wikipedia.org/wiki/S%C3%A3o_Luiz_Gonzaga" TargetMode="External"/><Relationship Id="rId1410" Type="http://schemas.openxmlformats.org/officeDocument/2006/relationships/hyperlink" Target="https://pt.wikipedia.org/wiki/Turu%C3%A7u" TargetMode="External"/><Relationship Id="rId296" Type="http://schemas.openxmlformats.org/officeDocument/2006/relationships/hyperlink" Target="https://pt.wikipedia.org/wiki/Mesorregi%C3%A3o_do_Sudeste_Rio-Grandense" TargetMode="External"/><Relationship Id="rId156" Type="http://schemas.openxmlformats.org/officeDocument/2006/relationships/hyperlink" Target="https://pt.wikipedia.org/wiki/Bom_Retiro_do_Sul" TargetMode="External"/><Relationship Id="rId363" Type="http://schemas.openxmlformats.org/officeDocument/2006/relationships/hyperlink" Target="https://pt.wikipedia.org/wiki/Microrregi%C3%A3o_de_Passo_Fundo" TargetMode="External"/><Relationship Id="rId570" Type="http://schemas.openxmlformats.org/officeDocument/2006/relationships/hyperlink" Target="https://pt.wikipedia.org/wiki/Microrregi%C3%A3o_de_Montenegro" TargetMode="External"/><Relationship Id="rId223" Type="http://schemas.openxmlformats.org/officeDocument/2006/relationships/hyperlink" Target="https://pt.wikipedia.org/wiki/Microrregi%C3%A3o_de_Cruz_Alta" TargetMode="External"/><Relationship Id="rId430" Type="http://schemas.openxmlformats.org/officeDocument/2006/relationships/hyperlink" Target="https://pt.wikipedia.org/wiki/Mesorregi%C3%A3o_do_Sudeste_Rio-Grandense" TargetMode="External"/><Relationship Id="rId668" Type="http://schemas.openxmlformats.org/officeDocument/2006/relationships/hyperlink" Target="https://pt.wikipedia.org/wiki/Jaguari" TargetMode="External"/><Relationship Id="rId875" Type="http://schemas.openxmlformats.org/officeDocument/2006/relationships/hyperlink" Target="https://pt.wikipedia.org/wiki/Os%C3%B3rio_(Rio_Grande_do_Sul)" TargetMode="External"/><Relationship Id="rId1060" Type="http://schemas.openxmlformats.org/officeDocument/2006/relationships/hyperlink" Target="https://pt.wikipedia.org/wiki/Microrregi%C3%A3o_de_Cerro_Largo" TargetMode="External"/><Relationship Id="rId1298" Type="http://schemas.openxmlformats.org/officeDocument/2006/relationships/hyperlink" Target="https://pt.wikipedia.org/wiki/Mesorregi%C3%A3o_do_Noroeste_Rio-Grandense" TargetMode="External"/><Relationship Id="rId528" Type="http://schemas.openxmlformats.org/officeDocument/2006/relationships/hyperlink" Target="https://pt.wikipedia.org/wiki/Microrregi%C3%A3o_de_Erechim" TargetMode="External"/><Relationship Id="rId735" Type="http://schemas.openxmlformats.org/officeDocument/2006/relationships/hyperlink" Target="https://pt.wikipedia.org/wiki/Microrregi%C3%A3o_de_Erechim" TargetMode="External"/><Relationship Id="rId942" Type="http://schemas.openxmlformats.org/officeDocument/2006/relationships/hyperlink" Target="https://pt.wikipedia.org/wiki/Microrregi%C3%A3o_de_Vacaria" TargetMode="External"/><Relationship Id="rId1158" Type="http://schemas.openxmlformats.org/officeDocument/2006/relationships/hyperlink" Target="https://pt.wikipedia.org/wiki/S%C3%A3o_Gabriel_(Rio_Grande_do_Sul)" TargetMode="External"/><Relationship Id="rId1365" Type="http://schemas.openxmlformats.org/officeDocument/2006/relationships/hyperlink" Target="https://pt.wikipedia.org/wiki/Tr%C3%AAs_Arroios" TargetMode="External"/><Relationship Id="rId1018" Type="http://schemas.openxmlformats.org/officeDocument/2006/relationships/hyperlink" Target="https://pt.wikipedia.org/wiki/Microrregi%C3%A3o_de_Cruz_Alta" TargetMode="External"/><Relationship Id="rId1225" Type="http://schemas.openxmlformats.org/officeDocument/2006/relationships/hyperlink" Target="https://pt.wikipedia.org/wiki/Microrregi%C3%A3o_de_Montenegro" TargetMode="External"/><Relationship Id="rId1432" Type="http://schemas.openxmlformats.org/officeDocument/2006/relationships/hyperlink" Target="https://pt.wikipedia.org/wiki/Microrregi%C3%A3o_de_Montenegro" TargetMode="External"/><Relationship Id="rId71" Type="http://schemas.openxmlformats.org/officeDocument/2006/relationships/hyperlink" Target="https://pt.wikipedia.org/wiki/Mesorregi%C3%A3o_Metropolitana_de_Porto_Alegre" TargetMode="External"/><Relationship Id="rId802" Type="http://schemas.openxmlformats.org/officeDocument/2006/relationships/hyperlink" Target="https://pt.wikipedia.org/wiki/Mesorregi%C3%A3o_do_Noroeste_Rio-Grandense" TargetMode="External"/><Relationship Id="rId29" Type="http://schemas.openxmlformats.org/officeDocument/2006/relationships/hyperlink" Target="https://pt.wikipedia.org/wiki/Mesorregi%C3%A3o_do_Noroeste_Rio-Grandense" TargetMode="External"/><Relationship Id="rId178" Type="http://schemas.openxmlformats.org/officeDocument/2006/relationships/hyperlink" Target="https://pt.wikipedia.org/wiki/Microrregi%C3%A3o_das_Serras_de_Sudeste" TargetMode="External"/><Relationship Id="rId385" Type="http://schemas.openxmlformats.org/officeDocument/2006/relationships/hyperlink" Target="https://pt.wikipedia.org/wiki/Mesorregi%C3%A3o_do_Noroeste_Rio-Grandense" TargetMode="External"/><Relationship Id="rId592" Type="http://schemas.openxmlformats.org/officeDocument/2006/relationships/hyperlink" Target="https://pt.wikipedia.org/wiki/Mesorregi%C3%A3o_do_Noroeste_Rio-Grandense" TargetMode="External"/><Relationship Id="rId245" Type="http://schemas.openxmlformats.org/officeDocument/2006/relationships/hyperlink" Target="https://pt.wikipedia.org/wiki/Mesorregi%C3%A3o_do_Centro_Oriental_Rio-Grandense" TargetMode="External"/><Relationship Id="rId452" Type="http://schemas.openxmlformats.org/officeDocument/2006/relationships/hyperlink" Target="https://pt.wikipedia.org/wiki/Erval_Seco" TargetMode="External"/><Relationship Id="rId897" Type="http://schemas.openxmlformats.org/officeDocument/2006/relationships/hyperlink" Target="https://pt.wikipedia.org/wiki/Microrregi%C3%A3o_de_Guapor%C3%A9" TargetMode="External"/><Relationship Id="rId1082" Type="http://schemas.openxmlformats.org/officeDocument/2006/relationships/hyperlink" Target="https://pt.wikipedia.org/wiki/Mesorregi%C3%A3o_do_Noroeste_Rio-Grandense" TargetMode="External"/><Relationship Id="rId105" Type="http://schemas.openxmlformats.org/officeDocument/2006/relationships/hyperlink" Target="https://pt.wikipedia.org/wiki/Barra_do_Guarita" TargetMode="External"/><Relationship Id="rId312" Type="http://schemas.openxmlformats.org/officeDocument/2006/relationships/hyperlink" Target="https://pt.wikipedia.org/wiki/Charqueadas_(Rio_Grande_do_Sul)" TargetMode="External"/><Relationship Id="rId757" Type="http://schemas.openxmlformats.org/officeDocument/2006/relationships/hyperlink" Target="https://pt.wikipedia.org/wiki/Mesorregi%C3%A3o_do_Noroeste_Rio-Grandense" TargetMode="External"/><Relationship Id="rId964" Type="http://schemas.openxmlformats.org/officeDocument/2006/relationships/hyperlink" Target="https://pt.wikipedia.org/wiki/Microrregi%C3%A3o_de_Frederico_Westphalen" TargetMode="External"/><Relationship Id="rId1387" Type="http://schemas.openxmlformats.org/officeDocument/2006/relationships/hyperlink" Target="https://pt.wikipedia.org/wiki/Microrregi%C3%A3o_de_Frederico_Westphalen" TargetMode="External"/><Relationship Id="rId93" Type="http://schemas.openxmlformats.org/officeDocument/2006/relationships/hyperlink" Target="https://pt.wikipedia.org/wiki/Balne%C3%A1rio_Pinhal" TargetMode="External"/><Relationship Id="rId617" Type="http://schemas.openxmlformats.org/officeDocument/2006/relationships/hyperlink" Target="https://pt.wikipedia.org/wiki/Independ%C3%AAncia_(Rio_Grande_do_Sul)" TargetMode="External"/><Relationship Id="rId824" Type="http://schemas.openxmlformats.org/officeDocument/2006/relationships/hyperlink" Target="https://pt.wikipedia.org/wiki/Nova_Br%C3%A9scia" TargetMode="External"/><Relationship Id="rId1247" Type="http://schemas.openxmlformats.org/officeDocument/2006/relationships/hyperlink" Target="https://pt.wikipedia.org/wiki/Mesorregi%C3%A3o_do_Nordeste_Rio-Grandense" TargetMode="External"/><Relationship Id="rId1454" Type="http://schemas.openxmlformats.org/officeDocument/2006/relationships/hyperlink" Target="https://pt.wikipedia.org/wiki/Mesorregi%C3%A3o_do_Noroeste_Rio-Grandense" TargetMode="External"/><Relationship Id="rId1107" Type="http://schemas.openxmlformats.org/officeDocument/2006/relationships/hyperlink" Target="https://pt.wikipedia.org/wiki/Santa_Tereza" TargetMode="External"/><Relationship Id="rId1314" Type="http://schemas.openxmlformats.org/officeDocument/2006/relationships/hyperlink" Target="https://pt.wikipedia.org/wiki/Taba%C3%AD" TargetMode="External"/><Relationship Id="rId20" Type="http://schemas.openxmlformats.org/officeDocument/2006/relationships/hyperlink" Target="https://pt.wikipedia.org/wiki/Mesorregi%C3%A3o_do_Sudoeste_Rio-Grandense" TargetMode="External"/><Relationship Id="rId267" Type="http://schemas.openxmlformats.org/officeDocument/2006/relationships/hyperlink" Target="https://pt.wikipedia.org/wiki/Cara%C3%A1" TargetMode="External"/><Relationship Id="rId474" Type="http://schemas.openxmlformats.org/officeDocument/2006/relationships/hyperlink" Target="https://pt.wikipedia.org/wiki/Microrregi%C3%A3o_de_Lajeado-Estrela" TargetMode="External"/><Relationship Id="rId127" Type="http://schemas.openxmlformats.org/officeDocument/2006/relationships/hyperlink" Target="https://pt.wikipedia.org/wiki/Microrregi%C3%A3o_de_Erechim" TargetMode="External"/><Relationship Id="rId681" Type="http://schemas.openxmlformats.org/officeDocument/2006/relationships/hyperlink" Target="https://pt.wikipedia.org/wiki/Microrregi%C3%A3o_de_Santiago" TargetMode="External"/><Relationship Id="rId779" Type="http://schemas.openxmlformats.org/officeDocument/2006/relationships/hyperlink" Target="https://pt.wikipedia.org/wiki/Morma%C3%A7o" TargetMode="External"/><Relationship Id="rId986" Type="http://schemas.openxmlformats.org/officeDocument/2006/relationships/hyperlink" Target="https://pt.wikipedia.org/wiki/Mesorregi%C3%A3o_do_Noroeste_Rio-Grandense" TargetMode="External"/><Relationship Id="rId334" Type="http://schemas.openxmlformats.org/officeDocument/2006/relationships/hyperlink" Target="https://pt.wikipedia.org/wiki/Mesorregi%C3%A3o_do_Centro_Oriental_Rio-Grandense" TargetMode="External"/><Relationship Id="rId541" Type="http://schemas.openxmlformats.org/officeDocument/2006/relationships/hyperlink" Target="https://pt.wikipedia.org/wiki/Mesorregi%C3%A3o_do_Noroeste_Rio-Grandense" TargetMode="External"/><Relationship Id="rId639" Type="http://schemas.openxmlformats.org/officeDocument/2006/relationships/hyperlink" Target="https://pt.wikipedia.org/wiki/Microrregi%C3%A3o_de_Guapor%C3%A9" TargetMode="External"/><Relationship Id="rId1171" Type="http://schemas.openxmlformats.org/officeDocument/2006/relationships/hyperlink" Target="https://pt.wikipedia.org/wiki/Microrregi%C3%A3o_de_Guapor%C3%A9" TargetMode="External"/><Relationship Id="rId1269" Type="http://schemas.openxmlformats.org/officeDocument/2006/relationships/hyperlink" Target="https://pt.wikipedia.org/wiki/Sede_Nova" TargetMode="External"/><Relationship Id="rId1476" Type="http://schemas.openxmlformats.org/officeDocument/2006/relationships/hyperlink" Target="https://pt.wikipedia.org/wiki/Vista_Alegre" TargetMode="External"/><Relationship Id="rId401" Type="http://schemas.openxmlformats.org/officeDocument/2006/relationships/hyperlink" Target="https://pt.wikipedia.org/wiki/Dois_Lajeados" TargetMode="External"/><Relationship Id="rId846" Type="http://schemas.openxmlformats.org/officeDocument/2006/relationships/hyperlink" Target="https://pt.wikipedia.org/wiki/Microrregi%C3%A3o_de_Guapor%C3%A9" TargetMode="External"/><Relationship Id="rId1031" Type="http://schemas.openxmlformats.org/officeDocument/2006/relationships/hyperlink" Target="https://pt.wikipedia.org/wiki/Mesorregi%C3%A3o_do_Noroeste_Rio-Grandense" TargetMode="External"/><Relationship Id="rId1129" Type="http://schemas.openxmlformats.org/officeDocument/2006/relationships/hyperlink" Target="https://pt.wikipedia.org/wiki/Microrregi%C3%A3o_de_Santo_%C3%82ngelo" TargetMode="External"/><Relationship Id="rId706" Type="http://schemas.openxmlformats.org/officeDocument/2006/relationships/hyperlink" Target="https://pt.wikipedia.org/wiki/Mesorregi%C3%A3o_do_Noroeste_Rio-Grandense" TargetMode="External"/><Relationship Id="rId913" Type="http://schemas.openxmlformats.org/officeDocument/2006/relationships/hyperlink" Target="https://pt.wikipedia.org/wiki/Mesorregi%C3%A3o_do_Centro_Oriental_Rio-Grandense" TargetMode="External"/><Relationship Id="rId1336" Type="http://schemas.openxmlformats.org/officeDocument/2006/relationships/hyperlink" Target="https://pt.wikipedia.org/wiki/Microrregi%C3%A3o_de_Os%C3%B3rio" TargetMode="External"/><Relationship Id="rId42" Type="http://schemas.openxmlformats.org/officeDocument/2006/relationships/hyperlink" Target="https://pt.wikipedia.org/wiki/Ametista_do_Sul" TargetMode="External"/><Relationship Id="rId1403" Type="http://schemas.openxmlformats.org/officeDocument/2006/relationships/hyperlink" Target="https://pt.wikipedia.org/wiki/Mesorregi%C3%A3o_do_Centro_Ocidental_Rio-Grandense" TargetMode="External"/><Relationship Id="rId191" Type="http://schemas.openxmlformats.org/officeDocument/2006/relationships/hyperlink" Target="https://pt.wikipedia.org/wiki/Mesorregi%C3%A3o_do_Noroeste_Rio-Grandense" TargetMode="External"/><Relationship Id="rId289" Type="http://schemas.openxmlformats.org/officeDocument/2006/relationships/hyperlink" Target="https://pt.wikipedia.org/wiki/Microrregi%C3%A3o_de_Caxias_do_Sul" TargetMode="External"/><Relationship Id="rId496" Type="http://schemas.openxmlformats.org/officeDocument/2006/relationships/hyperlink" Target="https://pt.wikipedia.org/wiki/Mesorregi%C3%A3o_do_Centro_Oriental_Rio-Grandense" TargetMode="External"/><Relationship Id="rId149" Type="http://schemas.openxmlformats.org/officeDocument/2006/relationships/hyperlink" Target="https://pt.wikipedia.org/wiki/Mesorregi%C3%A3o_do_Nordeste_Rio-Grandense" TargetMode="External"/><Relationship Id="rId356" Type="http://schemas.openxmlformats.org/officeDocument/2006/relationships/hyperlink" Target="https://pt.wikipedia.org/wiki/Coronel_Pilar" TargetMode="External"/><Relationship Id="rId563" Type="http://schemas.openxmlformats.org/officeDocument/2006/relationships/hyperlink" Target="https://pt.wikipedia.org/wiki/Guapor%C3%A9_(Rio_Grande_do_Sul)" TargetMode="External"/><Relationship Id="rId770" Type="http://schemas.openxmlformats.org/officeDocument/2006/relationships/hyperlink" Target="https://pt.wikipedia.org/wiki/Monte_Alegre_dos_Campos" TargetMode="External"/><Relationship Id="rId1193" Type="http://schemas.openxmlformats.org/officeDocument/2006/relationships/hyperlink" Target="https://pt.wikipedia.org/wiki/Mesorregi%C3%A3o_Metropolitana_de_Porto_Alegre" TargetMode="External"/><Relationship Id="rId216" Type="http://schemas.openxmlformats.org/officeDocument/2006/relationships/hyperlink" Target="https://pt.wikipedia.org/wiki/Campo_Bom" TargetMode="External"/><Relationship Id="rId423" Type="http://schemas.openxmlformats.org/officeDocument/2006/relationships/hyperlink" Target="https://pt.wikipedia.org/wiki/Microrregi%C3%A3o_de_Porto_Alegre" TargetMode="External"/><Relationship Id="rId868" Type="http://schemas.openxmlformats.org/officeDocument/2006/relationships/hyperlink" Target="https://pt.wikipedia.org/wiki/Mesorregi%C3%A3o_do_Noroeste_Rio-Grandense" TargetMode="External"/><Relationship Id="rId1053" Type="http://schemas.openxmlformats.org/officeDocument/2006/relationships/hyperlink" Target="https://pt.wikipedia.org/wiki/Ronda_Alta" TargetMode="External"/><Relationship Id="rId1260" Type="http://schemas.openxmlformats.org/officeDocument/2006/relationships/hyperlink" Target="https://pt.wikipedia.org/wiki/Sapucaia_do_Sul" TargetMode="External"/><Relationship Id="rId630" Type="http://schemas.openxmlformats.org/officeDocument/2006/relationships/hyperlink" Target="https://pt.wikipedia.org/wiki/Microrregi%C3%A3o_de_Frederico_Westphalen" TargetMode="External"/><Relationship Id="rId728" Type="http://schemas.openxmlformats.org/officeDocument/2006/relationships/hyperlink" Target="https://pt.wikipedia.org/wiki/Marat%C3%A1" TargetMode="External"/><Relationship Id="rId935" Type="http://schemas.openxmlformats.org/officeDocument/2006/relationships/hyperlink" Target="https://pt.wikipedia.org/wiki/Picada_Caf%C3%A9" TargetMode="External"/><Relationship Id="rId1358" Type="http://schemas.openxmlformats.org/officeDocument/2006/relationships/hyperlink" Target="https://pt.wikipedia.org/wiki/Mesorregi%C3%A3o_Metropolitana_de_Porto_Alegre" TargetMode="External"/><Relationship Id="rId64" Type="http://schemas.openxmlformats.org/officeDocument/2006/relationships/hyperlink" Target="https://pt.wikipedia.org/wiki/Microrregi%C3%A3o_de_Lajeado-Estrela" TargetMode="External"/><Relationship Id="rId1120" Type="http://schemas.openxmlformats.org/officeDocument/2006/relationships/hyperlink" Target="https://pt.wikipedia.org/wiki/Microrregi%C3%A3o_de_Santiago" TargetMode="External"/><Relationship Id="rId1218" Type="http://schemas.openxmlformats.org/officeDocument/2006/relationships/hyperlink" Target="https://pt.wikipedia.org/wiki/S%C3%A3o_Nicolau_(Rio_Grande_do_Sul)" TargetMode="External"/><Relationship Id="rId1425" Type="http://schemas.openxmlformats.org/officeDocument/2006/relationships/hyperlink" Target="https://pt.wikipedia.org/wiki/Vacaria" TargetMode="External"/><Relationship Id="rId280" Type="http://schemas.openxmlformats.org/officeDocument/2006/relationships/hyperlink" Target="https://pt.wikipedia.org/wiki/Microrregi%C3%A3o_de_Passo_Fundo" TargetMode="External"/><Relationship Id="rId140" Type="http://schemas.openxmlformats.org/officeDocument/2006/relationships/hyperlink" Target="https://pt.wikipedia.org/wiki/Mesorregi%C3%A3o_do_Noroeste_Rio-Grandense" TargetMode="External"/><Relationship Id="rId378" Type="http://schemas.openxmlformats.org/officeDocument/2006/relationships/hyperlink" Target="https://pt.wikipedia.org/wiki/Microrregi%C3%A3o_de_Erechim" TargetMode="External"/><Relationship Id="rId585" Type="http://schemas.openxmlformats.org/officeDocument/2006/relationships/hyperlink" Target="https://pt.wikipedia.org/wiki/Microrregi%C3%A3o_de_Tr%C3%AAs_Passos" TargetMode="External"/><Relationship Id="rId792" Type="http://schemas.openxmlformats.org/officeDocument/2006/relationships/hyperlink" Target="https://pt.wikipedia.org/wiki/Microrregi%C3%A3o_de_Os%C3%B3rio" TargetMode="External"/><Relationship Id="rId6" Type="http://schemas.openxmlformats.org/officeDocument/2006/relationships/hyperlink" Target="https://pt.wikipedia.org/wiki/%C3%81gua_Santa_(Rio_Grande_do_Sul)" TargetMode="External"/><Relationship Id="rId238" Type="http://schemas.openxmlformats.org/officeDocument/2006/relationships/hyperlink" Target="https://pt.wikipedia.org/wiki/Microrregi%C3%A3o_de_Pelotas" TargetMode="External"/><Relationship Id="rId445" Type="http://schemas.openxmlformats.org/officeDocument/2006/relationships/hyperlink" Target="https://pt.wikipedia.org/wiki/Mesorregi%C3%A3o_do_Noroeste_Rio-Grandense" TargetMode="External"/><Relationship Id="rId652" Type="http://schemas.openxmlformats.org/officeDocument/2006/relationships/hyperlink" Target="https://pt.wikipedia.org/wiki/Mesorregi%C3%A3o_do_Centro_Ocidental_Rio-Grandense" TargetMode="External"/><Relationship Id="rId1075" Type="http://schemas.openxmlformats.org/officeDocument/2006/relationships/hyperlink" Target="https://pt.wikipedia.org/wiki/Microrregi%C3%A3o_de_Cerro_Largo" TargetMode="External"/><Relationship Id="rId1282" Type="http://schemas.openxmlformats.org/officeDocument/2006/relationships/hyperlink" Target="https://pt.wikipedia.org/wiki/Microrregi%C3%A3o_de_Camaqu%C3%A3" TargetMode="External"/><Relationship Id="rId305" Type="http://schemas.openxmlformats.org/officeDocument/2006/relationships/hyperlink" Target="https://pt.wikipedia.org/wiki/Mesorregi%C3%A3o_Metropolitana_de_Porto_Alegre" TargetMode="External"/><Relationship Id="rId512" Type="http://schemas.openxmlformats.org/officeDocument/2006/relationships/hyperlink" Target="https://pt.wikipedia.org/wiki/Forquetinha" TargetMode="External"/><Relationship Id="rId957" Type="http://schemas.openxmlformats.org/officeDocument/2006/relationships/hyperlink" Target="https://pt.wikipedia.org/wiki/Pirap%C3%B3" TargetMode="External"/><Relationship Id="rId1142" Type="http://schemas.openxmlformats.org/officeDocument/2006/relationships/hyperlink" Target="https://pt.wikipedia.org/wiki/Mesorregi%C3%A3o_do_Noroeste_Rio-Grandense" TargetMode="External"/><Relationship Id="rId86" Type="http://schemas.openxmlformats.org/officeDocument/2006/relationships/hyperlink" Target="https://pt.wikipedia.org/wiki/Mesorregi%C3%A3o_do_Noroeste_Rio-Grandense" TargetMode="External"/><Relationship Id="rId817" Type="http://schemas.openxmlformats.org/officeDocument/2006/relationships/hyperlink" Target="https://pt.wikipedia.org/wiki/Mesorregi%C3%A3o_do_Nordeste_Rio-Grandense" TargetMode="External"/><Relationship Id="rId1002" Type="http://schemas.openxmlformats.org/officeDocument/2006/relationships/hyperlink" Target="https://pt.wikipedia.org/wiki/Prot%C3%A1sio_Alves_(Rio_Grande_do_Sul)" TargetMode="External"/><Relationship Id="rId1447" Type="http://schemas.openxmlformats.org/officeDocument/2006/relationships/hyperlink" Target="https://pt.wikipedia.org/wiki/Microrregi%C3%A3o_de_Caxias_do_Sul" TargetMode="External"/><Relationship Id="rId1307" Type="http://schemas.openxmlformats.org/officeDocument/2006/relationships/hyperlink" Target="https://pt.wikipedia.org/wiki/Mesorregi%C3%A3o_do_Centro_Oriental_Rio-Grandense" TargetMode="External"/><Relationship Id="rId13" Type="http://schemas.openxmlformats.org/officeDocument/2006/relationships/hyperlink" Target="https://pt.wikipedia.org/wiki/Microrregi%C3%A3o_de_Iju%C3%AD" TargetMode="External"/><Relationship Id="rId162" Type="http://schemas.openxmlformats.org/officeDocument/2006/relationships/hyperlink" Target="https://pt.wikipedia.org/wiki/Bossoroca" TargetMode="External"/><Relationship Id="rId467" Type="http://schemas.openxmlformats.org/officeDocument/2006/relationships/hyperlink" Target="https://pt.wikipedia.org/wiki/Est%C3%A2ncia_Velha" TargetMode="External"/><Relationship Id="rId1097" Type="http://schemas.openxmlformats.org/officeDocument/2006/relationships/hyperlink" Target="https://pt.wikipedia.org/wiki/Mesorregi%C3%A3o_do_Sudoeste_Rio-Grandense" TargetMode="External"/><Relationship Id="rId674" Type="http://schemas.openxmlformats.org/officeDocument/2006/relationships/hyperlink" Target="https://pt.wikipedia.org/wiki/Jari_(Rio_Grande_do_Sul)" TargetMode="External"/><Relationship Id="rId881" Type="http://schemas.openxmlformats.org/officeDocument/2006/relationships/hyperlink" Target="https://pt.wikipedia.org/wiki/Palmares_do_Sul" TargetMode="External"/><Relationship Id="rId979" Type="http://schemas.openxmlformats.org/officeDocument/2006/relationships/hyperlink" Target="https://pt.wikipedia.org/wiki/Microrregi%C3%A3o_de_Porto_Alegre" TargetMode="External"/><Relationship Id="rId327" Type="http://schemas.openxmlformats.org/officeDocument/2006/relationships/hyperlink" Target="https://pt.wikipedia.org/wiki/Microrregi%C3%A3o_de_Os%C3%B3rio" TargetMode="External"/><Relationship Id="rId534" Type="http://schemas.openxmlformats.org/officeDocument/2006/relationships/hyperlink" Target="https://pt.wikipedia.org/wiki/Microrregi%C3%A3o_de_Passo_Fundo" TargetMode="External"/><Relationship Id="rId741" Type="http://schemas.openxmlformats.org/officeDocument/2006/relationships/hyperlink" Target="https://pt.wikipedia.org/wiki/Microrregi%C3%A3o_de_Erechim" TargetMode="External"/><Relationship Id="rId839" Type="http://schemas.openxmlformats.org/officeDocument/2006/relationships/hyperlink" Target="https://pt.wikipedia.org/wiki/Nova_Palma" TargetMode="External"/><Relationship Id="rId1164" Type="http://schemas.openxmlformats.org/officeDocument/2006/relationships/hyperlink" Target="https://pt.wikipedia.org/wiki/S%C3%A3o_Jo%C3%A3o_da_Urtiga" TargetMode="External"/><Relationship Id="rId1371" Type="http://schemas.openxmlformats.org/officeDocument/2006/relationships/hyperlink" Target="https://pt.wikipedia.org/wiki/Tr%C3%AAs_Coroas" TargetMode="External"/><Relationship Id="rId1469" Type="http://schemas.openxmlformats.org/officeDocument/2006/relationships/hyperlink" Target="https://pt.wikipedia.org/wiki/Mesorregi%C3%A3o_do_Noroeste_Rio-Grandense" TargetMode="External"/><Relationship Id="rId601" Type="http://schemas.openxmlformats.org/officeDocument/2006/relationships/hyperlink" Target="https://pt.wikipedia.org/wiki/Mesorregi%C3%A3o_do_Noroeste_Rio-Grandense" TargetMode="External"/><Relationship Id="rId1024" Type="http://schemas.openxmlformats.org/officeDocument/2006/relationships/hyperlink" Target="https://pt.wikipedia.org/wiki/Microrregi%C3%A3o_de_Lajeado-Estrela" TargetMode="External"/><Relationship Id="rId1231" Type="http://schemas.openxmlformats.org/officeDocument/2006/relationships/hyperlink" Target="https://pt.wikipedia.org/wiki/Microrregi%C3%A3o_de_Cerro_Largo" TargetMode="External"/><Relationship Id="rId906" Type="http://schemas.openxmlformats.org/officeDocument/2006/relationships/hyperlink" Target="https://pt.wikipedia.org/wiki/Microrregi%C3%A3o_de_Porto_Alegre" TargetMode="External"/><Relationship Id="rId1329" Type="http://schemas.openxmlformats.org/officeDocument/2006/relationships/hyperlink" Target="https://pt.wikipedia.org/wiki/Taquari" TargetMode="External"/><Relationship Id="rId35" Type="http://schemas.openxmlformats.org/officeDocument/2006/relationships/hyperlink" Target="https://pt.wikipedia.org/wiki/Mesorregi%C3%A3o_Metropolitana_de_Porto_Alegre" TargetMode="External"/><Relationship Id="rId184" Type="http://schemas.openxmlformats.org/officeDocument/2006/relationships/hyperlink" Target="https://pt.wikipedia.org/wiki/Microrregi%C3%A3o_de_Cachoeira_do_Sul" TargetMode="External"/><Relationship Id="rId391" Type="http://schemas.openxmlformats.org/officeDocument/2006/relationships/hyperlink" Target="https://pt.wikipedia.org/wiki/Mesorregi%C3%A3o_do_Noroeste_Rio-Grandense" TargetMode="External"/><Relationship Id="rId251" Type="http://schemas.openxmlformats.org/officeDocument/2006/relationships/hyperlink" Target="https://pt.wikipedia.org/wiki/Mesorregi%C3%A3o_Metropolitana_de_Porto_Alegre" TargetMode="External"/><Relationship Id="rId489" Type="http://schemas.openxmlformats.org/officeDocument/2006/relationships/hyperlink" Target="https://pt.wikipedia.org/wiki/Microrregi%C3%A3o_de_Restinga_Seca" TargetMode="External"/><Relationship Id="rId696" Type="http://schemas.openxmlformats.org/officeDocument/2006/relationships/hyperlink" Target="https://pt.wikipedia.org/wiki/Microrregi%C3%A3o_de_Lajeado-Estrela" TargetMode="External"/><Relationship Id="rId349" Type="http://schemas.openxmlformats.org/officeDocument/2006/relationships/hyperlink" Target="https://pt.wikipedia.org/wiki/Mesorregi%C3%A3o_do_Noroeste_Rio-Grandense" TargetMode="External"/><Relationship Id="rId556" Type="http://schemas.openxmlformats.org/officeDocument/2006/relationships/hyperlink" Target="https://pt.wikipedia.org/wiki/Metropolitana_de_Porto_Alegre" TargetMode="External"/><Relationship Id="rId763" Type="http://schemas.openxmlformats.org/officeDocument/2006/relationships/hyperlink" Target="https://pt.wikipedia.org/wiki/Mesorregi%C3%A3o_Metropolitana_de_Porto_Alegre" TargetMode="External"/><Relationship Id="rId1186" Type="http://schemas.openxmlformats.org/officeDocument/2006/relationships/hyperlink" Target="https://pt.wikipedia.org/wiki/Microrregi%C3%A3o_do_Litoral_Lagunar" TargetMode="External"/><Relationship Id="rId1393" Type="http://schemas.openxmlformats.org/officeDocument/2006/relationships/hyperlink" Target="https://pt.wikipedia.org/wiki/Microrregi%C3%A3o_de_Santa_Rosa" TargetMode="External"/><Relationship Id="rId111" Type="http://schemas.openxmlformats.org/officeDocument/2006/relationships/hyperlink" Target="https://pt.wikipedia.org/wiki/Barra_do_Ribeiro" TargetMode="External"/><Relationship Id="rId209" Type="http://schemas.openxmlformats.org/officeDocument/2006/relationships/hyperlink" Target="https://pt.wikipedia.org/wiki/Mesorregi%C3%A3o_do_Nordeste_Rio-Grandense" TargetMode="External"/><Relationship Id="rId416" Type="http://schemas.openxmlformats.org/officeDocument/2006/relationships/hyperlink" Target="https://pt.wikipedia.org/wiki/Doutor_Maur%C3%ADcio_Cardoso" TargetMode="External"/><Relationship Id="rId970" Type="http://schemas.openxmlformats.org/officeDocument/2006/relationships/hyperlink" Target="https://pt.wikipedia.org/wiki/Microrregi%C3%A3o_de_Passo_Fundo" TargetMode="External"/><Relationship Id="rId1046" Type="http://schemas.openxmlformats.org/officeDocument/2006/relationships/hyperlink" Target="https://pt.wikipedia.org/wiki/Mesorregi%C3%A3o_do_Noroeste_Rio-Grandense" TargetMode="External"/><Relationship Id="rId1253" Type="http://schemas.openxmlformats.org/officeDocument/2006/relationships/hyperlink" Target="https://pt.wikipedia.org/wiki/Mesorregi%C3%A3o_Metropolitana_de_Porto_Alegre" TargetMode="External"/><Relationship Id="rId623" Type="http://schemas.openxmlformats.org/officeDocument/2006/relationships/hyperlink" Target="https://pt.wikipedia.org/wiki/Ip%C3%AA_(Rio_Grande_do_Sul)" TargetMode="External"/><Relationship Id="rId830" Type="http://schemas.openxmlformats.org/officeDocument/2006/relationships/hyperlink" Target="https://pt.wikipedia.org/wiki/Nova_Esperan%C3%A7a_do_Sul" TargetMode="External"/><Relationship Id="rId928" Type="http://schemas.openxmlformats.org/officeDocument/2006/relationships/hyperlink" Target="https://pt.wikipedia.org/wiki/Mesorregi%C3%A3o_do_Sudeste_Rio-Grandense" TargetMode="External"/><Relationship Id="rId1460" Type="http://schemas.openxmlformats.org/officeDocument/2006/relationships/hyperlink" Target="https://pt.wikipedia.org/wiki/Mesorregi%C3%A3o_do_Noroeste_Rio-Grandense" TargetMode="External"/><Relationship Id="rId57" Type="http://schemas.openxmlformats.org/officeDocument/2006/relationships/hyperlink" Target="https://pt.wikipedia.org/wiki/Araric%C3%A1" TargetMode="External"/><Relationship Id="rId1113" Type="http://schemas.openxmlformats.org/officeDocument/2006/relationships/hyperlink" Target="https://pt.wikipedia.org/wiki/Santana_da_Boa_Vista" TargetMode="External"/><Relationship Id="rId1320" Type="http://schemas.openxmlformats.org/officeDocument/2006/relationships/hyperlink" Target="https://pt.wikipedia.org/wiki/Tapera" TargetMode="External"/><Relationship Id="rId1418" Type="http://schemas.openxmlformats.org/officeDocument/2006/relationships/hyperlink" Target="https://pt.wikipedia.org/wiki/Mesorregi%C3%A3o_do_Nordeste_Rio-Grandense" TargetMode="External"/><Relationship Id="rId273" Type="http://schemas.openxmlformats.org/officeDocument/2006/relationships/hyperlink" Target="https://pt.wikipedia.org/wiki/Carlos_Barbosa" TargetMode="External"/><Relationship Id="rId480" Type="http://schemas.openxmlformats.org/officeDocument/2006/relationships/hyperlink" Target="https://pt.wikipedia.org/wiki/Microrregi%C3%A3o_de_Santo_%C3%82ngelo" TargetMode="External"/><Relationship Id="rId133" Type="http://schemas.openxmlformats.org/officeDocument/2006/relationships/hyperlink" Target="https://pt.wikipedia.org/wiki/Microrregi%C3%A3o_de_Carazinho" TargetMode="External"/><Relationship Id="rId340" Type="http://schemas.openxmlformats.org/officeDocument/2006/relationships/hyperlink" Target="https://pt.wikipedia.org/wiki/Mesorregi%C3%A3o_do_Noroeste_Rio-Grandense" TargetMode="External"/><Relationship Id="rId578" Type="http://schemas.openxmlformats.org/officeDocument/2006/relationships/hyperlink" Target="https://pt.wikipedia.org/wiki/Horizontina" TargetMode="External"/><Relationship Id="rId785" Type="http://schemas.openxmlformats.org/officeDocument/2006/relationships/hyperlink" Target="https://pt.wikipedia.org/wiki/Morro_Redondo" TargetMode="External"/><Relationship Id="rId992" Type="http://schemas.openxmlformats.org/officeDocument/2006/relationships/hyperlink" Target="https://pt.wikipedia.org/wiki/Mesorregi%C3%A3o_do_Noroeste_Rio-Grandense" TargetMode="External"/><Relationship Id="rId200" Type="http://schemas.openxmlformats.org/officeDocument/2006/relationships/hyperlink" Target="https://pt.wikipedia.org/wiki/Mesorregi%C3%A3o_Metropolitana_de_Porto_Alegre" TargetMode="External"/><Relationship Id="rId438" Type="http://schemas.openxmlformats.org/officeDocument/2006/relationships/hyperlink" Target="https://pt.wikipedia.org/wiki/Microrregi%C3%A3o_de_Santo_%C3%82ngelo" TargetMode="External"/><Relationship Id="rId645" Type="http://schemas.openxmlformats.org/officeDocument/2006/relationships/hyperlink" Target="https://pt.wikipedia.org/wiki/Microrregi%C3%A3o_de_Os%C3%B3rio" TargetMode="External"/><Relationship Id="rId852" Type="http://schemas.openxmlformats.org/officeDocument/2006/relationships/hyperlink" Target="https://pt.wikipedia.org/wiki/Microrregi%C3%A3o_de_Caxias_do_Sul" TargetMode="External"/><Relationship Id="rId1068" Type="http://schemas.openxmlformats.org/officeDocument/2006/relationships/hyperlink" Target="https://pt.wikipedia.org/wiki/Saldanha_Marinho_(Rio_Grande_do_Sul)" TargetMode="External"/><Relationship Id="rId1275" Type="http://schemas.openxmlformats.org/officeDocument/2006/relationships/hyperlink" Target="https://pt.wikipedia.org/wiki/Selbach" TargetMode="External"/><Relationship Id="rId1482" Type="http://schemas.openxmlformats.org/officeDocument/2006/relationships/hyperlink" Target="https://pt.wikipedia.org/wiki/Vista_Ga%C3%BAcha" TargetMode="External"/><Relationship Id="rId505" Type="http://schemas.openxmlformats.org/officeDocument/2006/relationships/hyperlink" Target="https://pt.wikipedia.org/wiki/Mesorregi%C3%A3o_do_Noroeste_Rio-Grandense" TargetMode="External"/><Relationship Id="rId712" Type="http://schemas.openxmlformats.org/officeDocument/2006/relationships/hyperlink" Target="https://pt.wikipedia.org/wiki/Mesorregi%C3%A3o_Metropolitana_de_Porto_Alegre" TargetMode="External"/><Relationship Id="rId1135" Type="http://schemas.openxmlformats.org/officeDocument/2006/relationships/hyperlink" Target="https://pt.wikipedia.org/wiki/Microrregi%C3%A3o_de_Carazinho" TargetMode="External"/><Relationship Id="rId1342" Type="http://schemas.openxmlformats.org/officeDocument/2006/relationships/hyperlink" Target="https://pt.wikipedia.org/wiki/Microrregi%C3%A3o_de_Os%C3%B3rio" TargetMode="External"/><Relationship Id="rId79" Type="http://schemas.openxmlformats.org/officeDocument/2006/relationships/hyperlink" Target="https://pt.wikipedia.org/wiki/Microrregi%C3%A3o_de_Jaguar%C3%A3o" TargetMode="External"/><Relationship Id="rId1202" Type="http://schemas.openxmlformats.org/officeDocument/2006/relationships/hyperlink" Target="https://pt.wikipedia.org/wiki/Mesorregi%C3%A3o_do_Sudeste_Rio-Grandense" TargetMode="External"/><Relationship Id="rId295" Type="http://schemas.openxmlformats.org/officeDocument/2006/relationships/hyperlink" Target="https://pt.wikipedia.org/wiki/Microrregi%C3%A3o_de_Pelotas" TargetMode="External"/><Relationship Id="rId155" Type="http://schemas.openxmlformats.org/officeDocument/2006/relationships/hyperlink" Target="https://pt.wikipedia.org/wiki/Mesorregi%C3%A3o_do_Noroeste_Rio-Grandense" TargetMode="External"/><Relationship Id="rId362" Type="http://schemas.openxmlformats.org/officeDocument/2006/relationships/hyperlink" Target="https://pt.wikipedia.org/wiki/Coxilha_(Rio_Grande_do_Sul)" TargetMode="External"/><Relationship Id="rId1297" Type="http://schemas.openxmlformats.org/officeDocument/2006/relationships/hyperlink" Target="https://pt.wikipedia.org/wiki/Microrregi%C3%A3o_de_Cerro_Largo" TargetMode="External"/><Relationship Id="rId222" Type="http://schemas.openxmlformats.org/officeDocument/2006/relationships/hyperlink" Target="https://pt.wikipedia.org/wiki/Campos_Borges" TargetMode="External"/><Relationship Id="rId667" Type="http://schemas.openxmlformats.org/officeDocument/2006/relationships/hyperlink" Target="https://pt.wikipedia.org/wiki/Mesorregi%C3%A3o_do_Sudeste_Rio-Grandense" TargetMode="External"/><Relationship Id="rId874" Type="http://schemas.openxmlformats.org/officeDocument/2006/relationships/hyperlink" Target="https://pt.wikipedia.org/wiki/Mesorregi%C3%A3o_do_Noroeste_Rio-Grandense" TargetMode="External"/><Relationship Id="rId527" Type="http://schemas.openxmlformats.org/officeDocument/2006/relationships/hyperlink" Target="https://pt.wikipedia.org/wiki/Gaurama" TargetMode="External"/><Relationship Id="rId734" Type="http://schemas.openxmlformats.org/officeDocument/2006/relationships/hyperlink" Target="https://pt.wikipedia.org/wiki/Marcelino_Ramos" TargetMode="External"/><Relationship Id="rId941" Type="http://schemas.openxmlformats.org/officeDocument/2006/relationships/hyperlink" Target="https://pt.wikipedia.org/wiki/Pinhal_da_Serra" TargetMode="External"/><Relationship Id="rId1157" Type="http://schemas.openxmlformats.org/officeDocument/2006/relationships/hyperlink" Target="https://pt.wikipedia.org/wiki/Mesorregi%C3%A3o_do_Nordeste_Rio-Grandense" TargetMode="External"/><Relationship Id="rId1364" Type="http://schemas.openxmlformats.org/officeDocument/2006/relationships/hyperlink" Target="https://pt.wikipedia.org/wiki/Mesorregi%C3%A3o_do_Centro_Oriental_Rio-Grandense" TargetMode="External"/><Relationship Id="rId70" Type="http://schemas.openxmlformats.org/officeDocument/2006/relationships/hyperlink" Target="https://pt.wikipedia.org/wiki/Microrregi%C3%A3o_de_Os%C3%B3rio" TargetMode="External"/><Relationship Id="rId801" Type="http://schemas.openxmlformats.org/officeDocument/2006/relationships/hyperlink" Target="https://pt.wikipedia.org/wiki/Microrregi%C3%A3o_de_Passo_Fundo" TargetMode="External"/><Relationship Id="rId1017" Type="http://schemas.openxmlformats.org/officeDocument/2006/relationships/hyperlink" Target="https://pt.wikipedia.org/wiki/Quinze_de_Novembro" TargetMode="External"/><Relationship Id="rId1224" Type="http://schemas.openxmlformats.org/officeDocument/2006/relationships/hyperlink" Target="https://pt.wikipedia.org/wiki/S%C3%A3o_Pedro_da_Serra_(Rio_Grande_do_Sul)" TargetMode="External"/><Relationship Id="rId1431" Type="http://schemas.openxmlformats.org/officeDocument/2006/relationships/hyperlink" Target="https://pt.wikipedia.org/wiki/Vale_Real" TargetMode="External"/><Relationship Id="rId28" Type="http://schemas.openxmlformats.org/officeDocument/2006/relationships/hyperlink" Target="https://pt.wikipedia.org/wiki/Microrregi%C3%A3o_de_Frederico_Westphalen" TargetMode="External"/><Relationship Id="rId177" Type="http://schemas.openxmlformats.org/officeDocument/2006/relationships/hyperlink" Target="https://pt.wikipedia.org/wiki/Ca%C3%A7apava_do_Sul" TargetMode="External"/><Relationship Id="rId384" Type="http://schemas.openxmlformats.org/officeDocument/2006/relationships/hyperlink" Target="https://pt.wikipedia.org/wiki/Microrregi%C3%A3o_de_Passo_Fundo" TargetMode="External"/><Relationship Id="rId591" Type="http://schemas.openxmlformats.org/officeDocument/2006/relationships/hyperlink" Target="https://pt.wikipedia.org/wiki/Microrregi%C3%A3o_de_Sananduva" TargetMode="External"/><Relationship Id="rId244" Type="http://schemas.openxmlformats.org/officeDocument/2006/relationships/hyperlink" Target="https://pt.wikipedia.org/wiki/Microrregi%C3%A3o_de_Lajeado-Estrela" TargetMode="External"/><Relationship Id="rId689" Type="http://schemas.openxmlformats.org/officeDocument/2006/relationships/hyperlink" Target="https://pt.wikipedia.org/wiki/Lagoa_Vermelha" TargetMode="External"/><Relationship Id="rId896" Type="http://schemas.openxmlformats.org/officeDocument/2006/relationships/hyperlink" Target="https://pt.wikipedia.org/wiki/Para%C3%AD" TargetMode="External"/><Relationship Id="rId1081" Type="http://schemas.openxmlformats.org/officeDocument/2006/relationships/hyperlink" Target="https://pt.wikipedia.org/wiki/Microrregi%C3%A3o_de_Sananduva" TargetMode="External"/><Relationship Id="rId451" Type="http://schemas.openxmlformats.org/officeDocument/2006/relationships/hyperlink" Target="https://pt.wikipedia.org/wiki/Mesorregi%C3%A3o_do_Noroeste_Rio-Grandense" TargetMode="External"/><Relationship Id="rId549" Type="http://schemas.openxmlformats.org/officeDocument/2006/relationships/hyperlink" Target="https://pt.wikipedia.org/wiki/Microrregi%C3%A3o_de_Frederico_Westphalen" TargetMode="External"/><Relationship Id="rId756" Type="http://schemas.openxmlformats.org/officeDocument/2006/relationships/hyperlink" Target="https://pt.wikipedia.org/wiki/Microrregi%C3%A3o_de_Cerro_Largo" TargetMode="External"/><Relationship Id="rId1179" Type="http://schemas.openxmlformats.org/officeDocument/2006/relationships/hyperlink" Target="https://pt.wikipedia.org/wiki/S%C3%A3o_Jos%C3%A9_do_Hort%C3%AAncio" TargetMode="External"/><Relationship Id="rId1386" Type="http://schemas.openxmlformats.org/officeDocument/2006/relationships/hyperlink" Target="https://pt.wikipedia.org/wiki/Trindade_do_Sul" TargetMode="External"/><Relationship Id="rId104" Type="http://schemas.openxmlformats.org/officeDocument/2006/relationships/hyperlink" Target="https://pt.wikipedia.org/wiki/Mesorregi%C3%A3o_Metropolitana_de_Porto_Alegre" TargetMode="External"/><Relationship Id="rId311" Type="http://schemas.openxmlformats.org/officeDocument/2006/relationships/hyperlink" Target="https://pt.wikipedia.org/wiki/Mesorregi%C3%A3o_do_Noroeste_Rio-Grandense" TargetMode="External"/><Relationship Id="rId409" Type="http://schemas.openxmlformats.org/officeDocument/2006/relationships/hyperlink" Target="https://pt.wikipedia.org/wiki/Mesorregi%C3%A3o_do_Sudoeste_Rio-Grandense" TargetMode="External"/><Relationship Id="rId963" Type="http://schemas.openxmlformats.org/officeDocument/2006/relationships/hyperlink" Target="https://pt.wikipedia.org/wiki/Planalto_(Rio_Grande_do_Sul)" TargetMode="External"/><Relationship Id="rId1039" Type="http://schemas.openxmlformats.org/officeDocument/2006/relationships/hyperlink" Target="https://pt.wikipedia.org/wiki/Microrregi%C3%A3o_de_Gramado-Canela" TargetMode="External"/><Relationship Id="rId1246" Type="http://schemas.openxmlformats.org/officeDocument/2006/relationships/hyperlink" Target="https://pt.wikipedia.org/wiki/Microrregi%C3%A3o_de_Guapor%C3%A9" TargetMode="External"/><Relationship Id="rId92" Type="http://schemas.openxmlformats.org/officeDocument/2006/relationships/hyperlink" Target="https://pt.wikipedia.org/wiki/Mesorregi%C3%A3o_do_Sudoeste_Rio-Grandense" TargetMode="External"/><Relationship Id="rId616" Type="http://schemas.openxmlformats.org/officeDocument/2006/relationships/hyperlink" Target="https://pt.wikipedia.org/wiki/Mesorregi%C3%A3o_do_Centro_Oriental_Rio-Grandense" TargetMode="External"/><Relationship Id="rId823" Type="http://schemas.openxmlformats.org/officeDocument/2006/relationships/hyperlink" Target="https://pt.wikipedia.org/wiki/Mesorregi%C3%A3o_do_Noroeste_Rio-Grandense" TargetMode="External"/><Relationship Id="rId1453" Type="http://schemas.openxmlformats.org/officeDocument/2006/relationships/hyperlink" Target="https://pt.wikipedia.org/wiki/Microrregi%C3%A3o_de_Erechim" TargetMode="External"/><Relationship Id="rId1106" Type="http://schemas.openxmlformats.org/officeDocument/2006/relationships/hyperlink" Target="https://pt.wikipedia.org/wiki/Mesorregi%C3%A3o_do_Noroeste_Rio-Grandense" TargetMode="External"/><Relationship Id="rId1313" Type="http://schemas.openxmlformats.org/officeDocument/2006/relationships/hyperlink" Target="https://pt.wikipedia.org/wiki/Mesorregi%C3%A3o_do_Noroeste_Rio-Grandense" TargetMode="External"/><Relationship Id="rId199" Type="http://schemas.openxmlformats.org/officeDocument/2006/relationships/hyperlink" Target="https://pt.wikipedia.org/wiki/Microrregi%C3%A3o_de_Camaqu%C3%A3" TargetMode="External"/><Relationship Id="rId266" Type="http://schemas.openxmlformats.org/officeDocument/2006/relationships/hyperlink" Target="https://pt.wikipedia.org/wiki/Mesorregi%C3%A3o_Metropolitana_de_Porto_Alegre" TargetMode="External"/><Relationship Id="rId473" Type="http://schemas.openxmlformats.org/officeDocument/2006/relationships/hyperlink" Target="https://pt.wikipedia.org/wiki/Estrela_(Rio_Grande_do_Sul)" TargetMode="External"/><Relationship Id="rId680" Type="http://schemas.openxmlformats.org/officeDocument/2006/relationships/hyperlink" Target="https://pt.wikipedia.org/wiki/J%C3%BAlio_de_Castilhos_(Rio_Grande_do_Sul)" TargetMode="External"/><Relationship Id="rId901" Type="http://schemas.openxmlformats.org/officeDocument/2006/relationships/hyperlink" Target="https://pt.wikipedia.org/wiki/Mesorregi%C3%A3o_do_Centro_Oriental_Rio-Grandense" TargetMode="External"/><Relationship Id="rId1117" Type="http://schemas.openxmlformats.org/officeDocument/2006/relationships/hyperlink" Target="https://pt.wikipedia.org/wiki/Microrregi%C3%A3o_da_Campanha_Central" TargetMode="External"/><Relationship Id="rId1324" Type="http://schemas.openxmlformats.org/officeDocument/2006/relationships/hyperlink" Target="https://pt.wikipedia.org/wiki/Microrregi%C3%A3o_de_Camaqu%C3%A3" TargetMode="External"/><Relationship Id="rId30" Type="http://schemas.openxmlformats.org/officeDocument/2006/relationships/hyperlink" Target="https://pt.wikipedia.org/wiki/Alto_Alegre_(Rio_Grande_do_Sul)" TargetMode="External"/><Relationship Id="rId126" Type="http://schemas.openxmlformats.org/officeDocument/2006/relationships/hyperlink" Target="https://pt.wikipedia.org/wiki/Benjamin_Constant_do_Sul" TargetMode="External"/><Relationship Id="rId333" Type="http://schemas.openxmlformats.org/officeDocument/2006/relationships/hyperlink" Target="https://pt.wikipedia.org/wiki/Microrregi%C3%A3o_de_Lajeado-Estrela" TargetMode="External"/><Relationship Id="rId540" Type="http://schemas.openxmlformats.org/officeDocument/2006/relationships/hyperlink" Target="https://pt.wikipedia.org/wiki/Microrregi%C3%A3o_de_Santo_%C3%82ngelo" TargetMode="External"/><Relationship Id="rId778" Type="http://schemas.openxmlformats.org/officeDocument/2006/relationships/hyperlink" Target="https://pt.wikipedia.org/wiki/Mesorregi%C3%A3o_Metropolitana_de_Porto_Alegre" TargetMode="External"/><Relationship Id="rId985" Type="http://schemas.openxmlformats.org/officeDocument/2006/relationships/hyperlink" Target="https://pt.wikipedia.org/wiki/Microrregi%C3%A3o_de_Santa_Rosa" TargetMode="External"/><Relationship Id="rId1170" Type="http://schemas.openxmlformats.org/officeDocument/2006/relationships/hyperlink" Target="https://pt.wikipedia.org/wiki/S%C3%A3o_Jorge_(Rio_Grande_do_Sul)" TargetMode="External"/><Relationship Id="rId638" Type="http://schemas.openxmlformats.org/officeDocument/2006/relationships/hyperlink" Target="https://pt.wikipedia.org/wiki/Itapuca" TargetMode="External"/><Relationship Id="rId845" Type="http://schemas.openxmlformats.org/officeDocument/2006/relationships/hyperlink" Target="https://pt.wikipedia.org/wiki/Nova_Prata" TargetMode="External"/><Relationship Id="rId1030" Type="http://schemas.openxmlformats.org/officeDocument/2006/relationships/hyperlink" Target="https://pt.wikipedia.org/wiki/Microrregi%C3%A3o_de_Frederico_Westphalen" TargetMode="External"/><Relationship Id="rId1268" Type="http://schemas.openxmlformats.org/officeDocument/2006/relationships/hyperlink" Target="https://pt.wikipedia.org/wiki/Mesorregi%C3%A3o_do_Noroeste_Rio-Grandense" TargetMode="External"/><Relationship Id="rId1475" Type="http://schemas.openxmlformats.org/officeDocument/2006/relationships/hyperlink" Target="https://pt.wikipedia.org/wiki/Mesorregi%C3%A3o_do_Centro_Ocidental_Rio-Grandense" TargetMode="External"/><Relationship Id="rId277" Type="http://schemas.openxmlformats.org/officeDocument/2006/relationships/hyperlink" Target="https://pt.wikipedia.org/wiki/Microrregi%C3%A3o_de_Erechim" TargetMode="External"/><Relationship Id="rId400" Type="http://schemas.openxmlformats.org/officeDocument/2006/relationships/hyperlink" Target="https://pt.wikipedia.org/wiki/Mesorregi%C3%A3o_do_Noroeste_Rio-Grandense" TargetMode="External"/><Relationship Id="rId484" Type="http://schemas.openxmlformats.org/officeDocument/2006/relationships/hyperlink" Target="https://pt.wikipedia.org/wiki/Mesorregi%C3%A3o_do_Nordeste_Rio-Grandense" TargetMode="External"/><Relationship Id="rId705" Type="http://schemas.openxmlformats.org/officeDocument/2006/relationships/hyperlink" Target="https://pt.wikipedia.org/wiki/Microrregi%C3%A3o_de_Frederico_Westphalen" TargetMode="External"/><Relationship Id="rId1128" Type="http://schemas.openxmlformats.org/officeDocument/2006/relationships/hyperlink" Target="https://pt.wikipedia.org/wiki/Santo_Ant%C3%B4nio_das_Miss%C3%B5es" TargetMode="External"/><Relationship Id="rId1335" Type="http://schemas.openxmlformats.org/officeDocument/2006/relationships/hyperlink" Target="https://pt.wikipedia.org/wiki/Tavares_(Rio_Grande_do_Sul)" TargetMode="External"/><Relationship Id="rId137" Type="http://schemas.openxmlformats.org/officeDocument/2006/relationships/hyperlink" Target="https://pt.wikipedia.org/wiki/Mesorregi%C3%A3o_do_Noroeste_Rio-Grandense" TargetMode="External"/><Relationship Id="rId344" Type="http://schemas.openxmlformats.org/officeDocument/2006/relationships/hyperlink" Target="https://pt.wikipedia.org/wiki/Coqueiro_Baixo" TargetMode="External"/><Relationship Id="rId691" Type="http://schemas.openxmlformats.org/officeDocument/2006/relationships/hyperlink" Target="https://pt.wikipedia.org/wiki/Mesorregi%C3%A3o_do_Nordeste_Rio-Grandense" TargetMode="External"/><Relationship Id="rId789" Type="http://schemas.openxmlformats.org/officeDocument/2006/relationships/hyperlink" Target="https://pt.wikipedia.org/wiki/Microrregi%C3%A3o_de_Gramado-Canela" TargetMode="External"/><Relationship Id="rId912" Type="http://schemas.openxmlformats.org/officeDocument/2006/relationships/hyperlink" Target="https://pt.wikipedia.org/wiki/Microrregi%C3%A3o_de_Cachoeira_do_Sul" TargetMode="External"/><Relationship Id="rId996" Type="http://schemas.openxmlformats.org/officeDocument/2006/relationships/hyperlink" Target="https://pt.wikipedia.org/wiki/Presidente_Lucena" TargetMode="External"/><Relationship Id="rId41" Type="http://schemas.openxmlformats.org/officeDocument/2006/relationships/hyperlink" Target="https://pt.wikipedia.org/wiki/Mesorregi%C3%A3o_do_Sudeste_Rio-Grandense" TargetMode="External"/><Relationship Id="rId551" Type="http://schemas.openxmlformats.org/officeDocument/2006/relationships/hyperlink" Target="https://pt.wikipedia.org/wiki/Gramado_Xavier" TargetMode="External"/><Relationship Id="rId649" Type="http://schemas.openxmlformats.org/officeDocument/2006/relationships/hyperlink" Target="https://pt.wikipedia.org/wiki/Mesorregi%C3%A3o_do_Noroeste_Rio-Grandense" TargetMode="External"/><Relationship Id="rId856" Type="http://schemas.openxmlformats.org/officeDocument/2006/relationships/hyperlink" Target="https://pt.wikipedia.org/wiki/Mesorregi%C3%A3o_Metropolitana_de_Porto_Alegre" TargetMode="External"/><Relationship Id="rId1181" Type="http://schemas.openxmlformats.org/officeDocument/2006/relationships/hyperlink" Target="https://pt.wikipedia.org/wiki/Mesorregi%C3%A3o_Metropolitana_de_Porto_Alegre" TargetMode="External"/><Relationship Id="rId1279" Type="http://schemas.openxmlformats.org/officeDocument/2006/relationships/hyperlink" Target="https://pt.wikipedia.org/wiki/Microrregi%C3%A3o_de_Santo_%C3%82ngelo" TargetMode="External"/><Relationship Id="rId1402" Type="http://schemas.openxmlformats.org/officeDocument/2006/relationships/hyperlink" Target="https://pt.wikipedia.org/wiki/Microrregi%C3%A3o_de_Santiago" TargetMode="External"/><Relationship Id="rId1486" Type="http://schemas.openxmlformats.org/officeDocument/2006/relationships/hyperlink" Target="https://pt.wikipedia.org/wiki/Microrregi%C3%A3o_de_Santo_%C3%82ngelo" TargetMode="External"/><Relationship Id="rId190" Type="http://schemas.openxmlformats.org/officeDocument/2006/relationships/hyperlink" Target="https://pt.wikipedia.org/wiki/Microrregi%C3%A3o_de_Sananduva" TargetMode="External"/><Relationship Id="rId204" Type="http://schemas.openxmlformats.org/officeDocument/2006/relationships/hyperlink" Target="https://pt.wikipedia.org/wiki/Cambar%C3%A1_do_Sul" TargetMode="External"/><Relationship Id="rId288" Type="http://schemas.openxmlformats.org/officeDocument/2006/relationships/hyperlink" Target="https://pt.wikipedia.org/wiki/Caxias_do_Sul" TargetMode="External"/><Relationship Id="rId411" Type="http://schemas.openxmlformats.org/officeDocument/2006/relationships/hyperlink" Target="https://pt.wikipedia.org/wiki/Microrregi%C3%A3o_de_Os%C3%B3rio" TargetMode="External"/><Relationship Id="rId509" Type="http://schemas.openxmlformats.org/officeDocument/2006/relationships/hyperlink" Target="https://pt.wikipedia.org/wiki/Formigueiro_(Rio_Grande_do_Sul)" TargetMode="External"/><Relationship Id="rId1041" Type="http://schemas.openxmlformats.org/officeDocument/2006/relationships/hyperlink" Target="https://pt.wikipedia.org/wiki/Roca_Sales" TargetMode="External"/><Relationship Id="rId1139" Type="http://schemas.openxmlformats.org/officeDocument/2006/relationships/hyperlink" Target="https://pt.wikipedia.org/wiki/Mesorregi%C3%A3o_do_Noroeste_Rio-Grandense" TargetMode="External"/><Relationship Id="rId1346" Type="http://schemas.openxmlformats.org/officeDocument/2006/relationships/hyperlink" Target="https://pt.wikipedia.org/wiki/Mesorregi%C3%A3o_do_Centro_Oriental_Rio-Grandense" TargetMode="External"/><Relationship Id="rId495" Type="http://schemas.openxmlformats.org/officeDocument/2006/relationships/hyperlink" Target="https://pt.wikipedia.org/wiki/Microrregi%C3%A3o_de_Lajeado-Estrela" TargetMode="External"/><Relationship Id="rId716" Type="http://schemas.openxmlformats.org/officeDocument/2006/relationships/hyperlink" Target="https://pt.wikipedia.org/wiki/Machadinho" TargetMode="External"/><Relationship Id="rId923" Type="http://schemas.openxmlformats.org/officeDocument/2006/relationships/hyperlink" Target="https://pt.wikipedia.org/wiki/Pedras_Altas" TargetMode="External"/><Relationship Id="rId52" Type="http://schemas.openxmlformats.org/officeDocument/2006/relationships/hyperlink" Target="https://pt.wikipedia.org/wiki/Microrregi%C3%A3o_de_Caxias_do_Sul" TargetMode="External"/><Relationship Id="rId148" Type="http://schemas.openxmlformats.org/officeDocument/2006/relationships/hyperlink" Target="https://pt.wikipedia.org/wiki/Microrregi%C3%A3o_de_Vacaria" TargetMode="External"/><Relationship Id="rId355" Type="http://schemas.openxmlformats.org/officeDocument/2006/relationships/hyperlink" Target="https://pt.wikipedia.org/wiki/Mesorregi%C3%A3o_do_Noroeste_Rio-Grandense" TargetMode="External"/><Relationship Id="rId562" Type="http://schemas.openxmlformats.org/officeDocument/2006/relationships/hyperlink" Target="https://pt.wikipedia.org/wiki/Mesorregi%C3%A3o_Metropolitana_de_Porto_Alegre" TargetMode="External"/><Relationship Id="rId1192" Type="http://schemas.openxmlformats.org/officeDocument/2006/relationships/hyperlink" Target="https://pt.wikipedia.org/wiki/Microrregi%C3%A3o_de_Montenegro" TargetMode="External"/><Relationship Id="rId1206" Type="http://schemas.openxmlformats.org/officeDocument/2006/relationships/hyperlink" Target="https://pt.wikipedia.org/wiki/S%C3%A3o_Marcos_(Rio_Grande_do_Sul)" TargetMode="External"/><Relationship Id="rId1413" Type="http://schemas.openxmlformats.org/officeDocument/2006/relationships/hyperlink" Target="https://pt.wikipedia.org/wiki/Ubiretama" TargetMode="External"/><Relationship Id="rId215" Type="http://schemas.openxmlformats.org/officeDocument/2006/relationships/hyperlink" Target="https://pt.wikipedia.org/wiki/Mesorregi%C3%A3o_do_Noroeste_Rio-Grandense" TargetMode="External"/><Relationship Id="rId422" Type="http://schemas.openxmlformats.org/officeDocument/2006/relationships/hyperlink" Target="https://pt.wikipedia.org/wiki/Eldorado_do_Sul" TargetMode="External"/><Relationship Id="rId867" Type="http://schemas.openxmlformats.org/officeDocument/2006/relationships/hyperlink" Target="https://pt.wikipedia.org/wiki/Microrregi%C3%A3o_de_Santa_Rosa" TargetMode="External"/><Relationship Id="rId1052" Type="http://schemas.openxmlformats.org/officeDocument/2006/relationships/hyperlink" Target="https://pt.wikipedia.org/wiki/Mesorregi%C3%A3o_Metropolitana_de_Porto_Alegre" TargetMode="External"/><Relationship Id="rId299" Type="http://schemas.openxmlformats.org/officeDocument/2006/relationships/hyperlink" Target="https://pt.wikipedia.org/wiki/Mesorregi%C3%A3o_do_Centro_Oriental_Rio-Grandense" TargetMode="External"/><Relationship Id="rId727" Type="http://schemas.openxmlformats.org/officeDocument/2006/relationships/hyperlink" Target="https://pt.wikipedia.org/wiki/Mesorregi%C3%A3o_Metropolitana_de_Porto_Alegre" TargetMode="External"/><Relationship Id="rId934" Type="http://schemas.openxmlformats.org/officeDocument/2006/relationships/hyperlink" Target="https://pt.wikipedia.org/wiki/Mesorregi%C3%A3o_do_Sudeste_Rio-Grandense" TargetMode="External"/><Relationship Id="rId1357" Type="http://schemas.openxmlformats.org/officeDocument/2006/relationships/hyperlink" Target="https://pt.wikipedia.org/wiki/Microrregi%C3%A3o_de_Os%C3%B3rio" TargetMode="External"/><Relationship Id="rId63" Type="http://schemas.openxmlformats.org/officeDocument/2006/relationships/hyperlink" Target="https://pt.wikipedia.org/wiki/Arroio_do_Meio" TargetMode="External"/><Relationship Id="rId159" Type="http://schemas.openxmlformats.org/officeDocument/2006/relationships/hyperlink" Target="https://pt.wikipedia.org/wiki/Boqueir%C3%A3o_do_Le%C3%A3o" TargetMode="External"/><Relationship Id="rId366" Type="http://schemas.openxmlformats.org/officeDocument/2006/relationships/hyperlink" Target="https://pt.wikipedia.org/wiki/Microrregi%C3%A3o_de_Tr%C3%AAs_Passos" TargetMode="External"/><Relationship Id="rId573" Type="http://schemas.openxmlformats.org/officeDocument/2006/relationships/hyperlink" Target="https://pt.wikipedia.org/wiki/Microrregi%C3%A3o_de_Jaguar%C3%A3o" TargetMode="External"/><Relationship Id="rId780" Type="http://schemas.openxmlformats.org/officeDocument/2006/relationships/hyperlink" Target="https://pt.wikipedia.org/wiki/Microrregi%C3%A3o_de_Soledade" TargetMode="External"/><Relationship Id="rId1217" Type="http://schemas.openxmlformats.org/officeDocument/2006/relationships/hyperlink" Target="https://pt.wikipedia.org/wiki/Mesorregi%C3%A3o_do_Noroeste_Rio-Grandense" TargetMode="External"/><Relationship Id="rId1424" Type="http://schemas.openxmlformats.org/officeDocument/2006/relationships/hyperlink" Target="https://pt.wikipedia.org/wiki/Mesorregi%C3%A3o_do_Sudoeste_Rio-Grandense" TargetMode="External"/><Relationship Id="rId226" Type="http://schemas.openxmlformats.org/officeDocument/2006/relationships/hyperlink" Target="https://pt.wikipedia.org/wiki/Microrregi%C3%A3o_de_Santa_Cruz_do_Sul" TargetMode="External"/><Relationship Id="rId433" Type="http://schemas.openxmlformats.org/officeDocument/2006/relationships/hyperlink" Target="https://pt.wikipedia.org/wiki/Mesorregi%C3%A3o_do_Noroeste_Rio-Grandense" TargetMode="External"/><Relationship Id="rId878" Type="http://schemas.openxmlformats.org/officeDocument/2006/relationships/hyperlink" Target="https://pt.wikipedia.org/wiki/Paim_Filho" TargetMode="External"/><Relationship Id="rId1063" Type="http://schemas.openxmlformats.org/officeDocument/2006/relationships/hyperlink" Target="https://pt.wikipedia.org/wiki/Microrregi%C3%A3o_da_Campanha_Central" TargetMode="External"/><Relationship Id="rId1270" Type="http://schemas.openxmlformats.org/officeDocument/2006/relationships/hyperlink" Target="https://pt.wikipedia.org/wiki/Microrregi%C3%A3o_de_Tr%C3%AAs_Passos" TargetMode="External"/><Relationship Id="rId640" Type="http://schemas.openxmlformats.org/officeDocument/2006/relationships/hyperlink" Target="https://pt.wikipedia.org/wiki/Mesorregi%C3%A3o_do_Nordeste_Rio-Grandense" TargetMode="External"/><Relationship Id="rId738" Type="http://schemas.openxmlformats.org/officeDocument/2006/relationships/hyperlink" Target="https://pt.wikipedia.org/wiki/Microrregi%C3%A3o_de_Porto_Alegre" TargetMode="External"/><Relationship Id="rId945" Type="http://schemas.openxmlformats.org/officeDocument/2006/relationships/hyperlink" Target="https://pt.wikipedia.org/wiki/Microrregi%C3%A3o_de_Santiago" TargetMode="External"/><Relationship Id="rId1368" Type="http://schemas.openxmlformats.org/officeDocument/2006/relationships/hyperlink" Target="https://pt.wikipedia.org/wiki/Tr%C3%AAs_Cachoeiras" TargetMode="External"/><Relationship Id="rId74" Type="http://schemas.openxmlformats.org/officeDocument/2006/relationships/hyperlink" Target="https://pt.wikipedia.org/wiki/Mesorregi%C3%A3o_do_Centro_Oriental_Rio-Grandense" TargetMode="External"/><Relationship Id="rId377" Type="http://schemas.openxmlformats.org/officeDocument/2006/relationships/hyperlink" Target="https://pt.wikipedia.org/wiki/Cruzaltense" TargetMode="External"/><Relationship Id="rId500" Type="http://schemas.openxmlformats.org/officeDocument/2006/relationships/hyperlink" Target="https://pt.wikipedia.org/wiki/Flores_da_Cunha" TargetMode="External"/><Relationship Id="rId584" Type="http://schemas.openxmlformats.org/officeDocument/2006/relationships/hyperlink" Target="https://pt.wikipedia.org/wiki/Humait%C3%A1_(Rio_Grande_do_Sul)" TargetMode="External"/><Relationship Id="rId805" Type="http://schemas.openxmlformats.org/officeDocument/2006/relationships/hyperlink" Target="https://pt.wikipedia.org/wiki/Mesorregi%C3%A3o_do_Noroeste_Rio-Grandense" TargetMode="External"/><Relationship Id="rId1130" Type="http://schemas.openxmlformats.org/officeDocument/2006/relationships/hyperlink" Target="https://pt.wikipedia.org/wiki/Mesorregi%C3%A3o_do_Noroeste_Rio-Grandense" TargetMode="External"/><Relationship Id="rId1228" Type="http://schemas.openxmlformats.org/officeDocument/2006/relationships/hyperlink" Target="https://pt.wikipedia.org/wiki/Microrregi%C3%A3o_de_Carazinho" TargetMode="External"/><Relationship Id="rId1435" Type="http://schemas.openxmlformats.org/officeDocument/2006/relationships/hyperlink" Target="https://pt.wikipedia.org/wiki/Microrregi%C3%A3o_de_S%C3%A3o_Jer%C3%B4nimo" TargetMode="External"/><Relationship Id="rId5" Type="http://schemas.openxmlformats.org/officeDocument/2006/relationships/hyperlink" Target="https://pt.wikipedia.org/wiki/Mesorregi%C3%A3o_do_Sudoeste_Rio-Grandense" TargetMode="External"/><Relationship Id="rId237" Type="http://schemas.openxmlformats.org/officeDocument/2006/relationships/hyperlink" Target="https://pt.wikipedia.org/wiki/Cangu%C3%A7u" TargetMode="External"/><Relationship Id="rId791" Type="http://schemas.openxmlformats.org/officeDocument/2006/relationships/hyperlink" Target="https://pt.wikipedia.org/wiki/Mostardas" TargetMode="External"/><Relationship Id="rId889" Type="http://schemas.openxmlformats.org/officeDocument/2006/relationships/hyperlink" Target="https://pt.wikipedia.org/wiki/Mesorregi%C3%A3o_do_Noroeste_Rio-Grandense" TargetMode="External"/><Relationship Id="rId1074" Type="http://schemas.openxmlformats.org/officeDocument/2006/relationships/hyperlink" Target="https://pt.wikipedia.org/wiki/Salvador_das_Miss%C3%B5es" TargetMode="External"/><Relationship Id="rId444" Type="http://schemas.openxmlformats.org/officeDocument/2006/relationships/hyperlink" Target="https://pt.wikipedia.org/wiki/Microrregi%C3%A3o_de_Erechim" TargetMode="External"/><Relationship Id="rId651" Type="http://schemas.openxmlformats.org/officeDocument/2006/relationships/hyperlink" Target="https://pt.wikipedia.org/wiki/Microrregi%C3%A3o_de_Restinga_Seca" TargetMode="External"/><Relationship Id="rId749" Type="http://schemas.openxmlformats.org/officeDocument/2006/relationships/hyperlink" Target="https://pt.wikipedia.org/wiki/Mato_Castelhano" TargetMode="External"/><Relationship Id="rId1281" Type="http://schemas.openxmlformats.org/officeDocument/2006/relationships/hyperlink" Target="https://pt.wikipedia.org/wiki/Sentinela_do_Sul" TargetMode="External"/><Relationship Id="rId1379" Type="http://schemas.openxmlformats.org/officeDocument/2006/relationships/hyperlink" Target="https://pt.wikipedia.org/wiki/Mesorregi%C3%A3o_Metropolitana_de_Porto_Alegre" TargetMode="External"/><Relationship Id="rId290" Type="http://schemas.openxmlformats.org/officeDocument/2006/relationships/hyperlink" Target="https://pt.wikipedia.org/wiki/Mesorregi%C3%A3o_do_Nordeste_Rio-Grandense" TargetMode="External"/><Relationship Id="rId304" Type="http://schemas.openxmlformats.org/officeDocument/2006/relationships/hyperlink" Target="https://pt.wikipedia.org/wiki/Microrregi%C3%A3o_de_Camaqu%C3%A3" TargetMode="External"/><Relationship Id="rId388" Type="http://schemas.openxmlformats.org/officeDocument/2006/relationships/hyperlink" Target="https://pt.wikipedia.org/wiki/Mesorregi%C3%A3o_do_Noroeste_Rio-Grandense" TargetMode="External"/><Relationship Id="rId511" Type="http://schemas.openxmlformats.org/officeDocument/2006/relationships/hyperlink" Target="https://pt.wikipedia.org/wiki/Mesorregi%C3%A3o_do_Centro_Ocidental_Rio-Grandense" TargetMode="External"/><Relationship Id="rId609" Type="http://schemas.openxmlformats.org/officeDocument/2006/relationships/hyperlink" Target="https://pt.wikipedia.org/wiki/Microrregi%C3%A3o_de_Guapor%C3%A9" TargetMode="External"/><Relationship Id="rId956" Type="http://schemas.openxmlformats.org/officeDocument/2006/relationships/hyperlink" Target="https://pt.wikipedia.org/wiki/Mesorregi%C3%A3o_do_Nordeste_Rio-Grandense" TargetMode="External"/><Relationship Id="rId1141" Type="http://schemas.openxmlformats.org/officeDocument/2006/relationships/hyperlink" Target="https://pt.wikipedia.org/wiki/Microrregi%C3%A3o_de_Santa_Rosa" TargetMode="External"/><Relationship Id="rId1239" Type="http://schemas.openxmlformats.org/officeDocument/2006/relationships/hyperlink" Target="https://pt.wikipedia.org/wiki/S%C3%A3o_Sep%C3%A9" TargetMode="External"/><Relationship Id="rId85" Type="http://schemas.openxmlformats.org/officeDocument/2006/relationships/hyperlink" Target="https://pt.wikipedia.org/wiki/Microrregi%C3%A3o_de_Iju%C3%AD" TargetMode="External"/><Relationship Id="rId150" Type="http://schemas.openxmlformats.org/officeDocument/2006/relationships/hyperlink" Target="https://pt.wikipedia.org/wiki/Bom_Princ%C3%ADpio" TargetMode="External"/><Relationship Id="rId595" Type="http://schemas.openxmlformats.org/officeDocument/2006/relationships/hyperlink" Target="https://pt.wikipedia.org/wiki/Mesorregi%C3%A3o_do_Noroeste_Rio-Grandense" TargetMode="External"/><Relationship Id="rId816" Type="http://schemas.openxmlformats.org/officeDocument/2006/relationships/hyperlink" Target="https://pt.wikipedia.org/wiki/Microrregi%C3%A3o_de_Guapor%C3%A9" TargetMode="External"/><Relationship Id="rId1001" Type="http://schemas.openxmlformats.org/officeDocument/2006/relationships/hyperlink" Target="https://pt.wikipedia.org/wiki/Mesorregi%C3%A3o_do_Centro_Oriental_Rio-Grandense" TargetMode="External"/><Relationship Id="rId1446" Type="http://schemas.openxmlformats.org/officeDocument/2006/relationships/hyperlink" Target="https://pt.wikipedia.org/wiki/Veran%C3%B3polis" TargetMode="External"/><Relationship Id="rId248" Type="http://schemas.openxmlformats.org/officeDocument/2006/relationships/hyperlink" Target="https://pt.wikipedia.org/wiki/Mesorregi%C3%A3o_do_Nordeste_Rio-Grandense" TargetMode="External"/><Relationship Id="rId455" Type="http://schemas.openxmlformats.org/officeDocument/2006/relationships/hyperlink" Target="https://pt.wikipedia.org/wiki/Esmeralda_(Rio_Grande_do_Sul)" TargetMode="External"/><Relationship Id="rId662" Type="http://schemas.openxmlformats.org/officeDocument/2006/relationships/hyperlink" Target="https://pt.wikipedia.org/wiki/Jacutinga_(Rio_Grande_do_Sul)" TargetMode="External"/><Relationship Id="rId1085" Type="http://schemas.openxmlformats.org/officeDocument/2006/relationships/hyperlink" Target="https://pt.wikipedia.org/wiki/Mesorregi%C3%A3o_do_Noroeste_Rio-Grandense" TargetMode="External"/><Relationship Id="rId1292" Type="http://schemas.openxmlformats.org/officeDocument/2006/relationships/hyperlink" Target="https://pt.wikipedia.org/wiki/Mesorregi%C3%A3o_do_Noroeste_Rio-Grandense" TargetMode="External"/><Relationship Id="rId1306" Type="http://schemas.openxmlformats.org/officeDocument/2006/relationships/hyperlink" Target="https://pt.wikipedia.org/wiki/Microrregi%C3%A3o_de_Santa_Cruz_do_Sul" TargetMode="External"/><Relationship Id="rId12" Type="http://schemas.openxmlformats.org/officeDocument/2006/relationships/hyperlink" Target="https://pt.wikipedia.org/wiki/Ajuricaba" TargetMode="External"/><Relationship Id="rId108" Type="http://schemas.openxmlformats.org/officeDocument/2006/relationships/hyperlink" Target="https://pt.wikipedia.org/wiki/Barra_do_Quara%C3%AD" TargetMode="External"/><Relationship Id="rId315" Type="http://schemas.openxmlformats.org/officeDocument/2006/relationships/hyperlink" Target="https://pt.wikipedia.org/wiki/Charrua_(Rio_Grande_do_Sul)" TargetMode="External"/><Relationship Id="rId522" Type="http://schemas.openxmlformats.org/officeDocument/2006/relationships/hyperlink" Target="https://pt.wikipedia.org/wiki/Microrregi%C3%A3o_de_Caxias_do_Sul" TargetMode="External"/><Relationship Id="rId967" Type="http://schemas.openxmlformats.org/officeDocument/2006/relationships/hyperlink" Target="https://pt.wikipedia.org/wiki/Microrregi%C3%A3o_de_Montenegro" TargetMode="External"/><Relationship Id="rId1152" Type="http://schemas.openxmlformats.org/officeDocument/2006/relationships/hyperlink" Target="https://pt.wikipedia.org/wiki/S%C3%A3o_Francisco_de_Assis_(Rio_Grande_do_Sul)" TargetMode="External"/><Relationship Id="rId96" Type="http://schemas.openxmlformats.org/officeDocument/2006/relationships/hyperlink" Target="https://pt.wikipedia.org/wiki/Bar%C3%A3o_(Rio_Grande_do_Sul)" TargetMode="External"/><Relationship Id="rId161" Type="http://schemas.openxmlformats.org/officeDocument/2006/relationships/hyperlink" Target="https://pt.wikipedia.org/wiki/Mesorregi%C3%A3o_do_Centro_Oriental_Rio-Grandense" TargetMode="External"/><Relationship Id="rId399" Type="http://schemas.openxmlformats.org/officeDocument/2006/relationships/hyperlink" Target="https://pt.wikipedia.org/wiki/Microrregi%C3%A3o_de_Frederico_Westphalen" TargetMode="External"/><Relationship Id="rId827" Type="http://schemas.openxmlformats.org/officeDocument/2006/relationships/hyperlink" Target="https://pt.wikipedia.org/wiki/Nova_Candel%C3%A1ria" TargetMode="External"/><Relationship Id="rId1012" Type="http://schemas.openxmlformats.org/officeDocument/2006/relationships/hyperlink" Target="https://pt.wikipedia.org/wiki/Microrregi%C3%A3o_de_Erechim" TargetMode="External"/><Relationship Id="rId1457" Type="http://schemas.openxmlformats.org/officeDocument/2006/relationships/hyperlink" Target="https://pt.wikipedia.org/wiki/Mesorregi%C3%A3o_Metropolitana_de_Porto_Alegre" TargetMode="External"/><Relationship Id="rId259" Type="http://schemas.openxmlformats.org/officeDocument/2006/relationships/hyperlink" Target="https://pt.wikipedia.org/wiki/Microrregi%C3%A3o_de_Montenegro" TargetMode="External"/><Relationship Id="rId466" Type="http://schemas.openxmlformats.org/officeDocument/2006/relationships/hyperlink" Target="https://pt.wikipedia.org/wiki/Mesorregi%C3%A3o_do_Noroeste_Rio-Grandense" TargetMode="External"/><Relationship Id="rId673" Type="http://schemas.openxmlformats.org/officeDocument/2006/relationships/hyperlink" Target="https://pt.wikipedia.org/wiki/Mesorregi%C3%A3o_do_Nordeste_Rio-Grandense" TargetMode="External"/><Relationship Id="rId880" Type="http://schemas.openxmlformats.org/officeDocument/2006/relationships/hyperlink" Target="https://pt.wikipedia.org/wiki/Mesorregi%C3%A3o_do_Noroeste_Rio-Grandense" TargetMode="External"/><Relationship Id="rId1096" Type="http://schemas.openxmlformats.org/officeDocument/2006/relationships/hyperlink" Target="https://pt.wikipedia.org/wiki/Microrregi%C3%A3o_da_Campanha_Central" TargetMode="External"/><Relationship Id="rId1317" Type="http://schemas.openxmlformats.org/officeDocument/2006/relationships/hyperlink" Target="https://pt.wikipedia.org/wiki/Tapejara_(Rio_Grande_do_Sul)" TargetMode="External"/><Relationship Id="rId23" Type="http://schemas.openxmlformats.org/officeDocument/2006/relationships/hyperlink" Target="https://pt.wikipedia.org/wiki/Mesorregi%C3%A3o_do_Noroeste_Rio-Grandense" TargetMode="External"/><Relationship Id="rId119" Type="http://schemas.openxmlformats.org/officeDocument/2006/relationships/hyperlink" Target="https://pt.wikipedia.org/wiki/Mesorregi%C3%A3o_do_Noroeste_Rio-Grandense" TargetMode="External"/><Relationship Id="rId326" Type="http://schemas.openxmlformats.org/officeDocument/2006/relationships/hyperlink" Target="https://pt.wikipedia.org/wiki/Cidreira_(Rio_Grande_do_Sul)" TargetMode="External"/><Relationship Id="rId533" Type="http://schemas.openxmlformats.org/officeDocument/2006/relationships/hyperlink" Target="https://pt.wikipedia.org/wiki/Gentil_(Rio_Grande_do_Sul)" TargetMode="External"/><Relationship Id="rId978" Type="http://schemas.openxmlformats.org/officeDocument/2006/relationships/hyperlink" Target="https://pt.wikipedia.org/wiki/Porto_Alegre" TargetMode="External"/><Relationship Id="rId1163" Type="http://schemas.openxmlformats.org/officeDocument/2006/relationships/hyperlink" Target="https://pt.wikipedia.org/wiki/Mesorregi%C3%A3o_Metropolitana_de_Porto_Alegre" TargetMode="External"/><Relationship Id="rId1370" Type="http://schemas.openxmlformats.org/officeDocument/2006/relationships/hyperlink" Target="https://pt.wikipedia.org/wiki/Mesorregi%C3%A3o_Metropolitana_de_Porto_Alegre" TargetMode="External"/><Relationship Id="rId740" Type="http://schemas.openxmlformats.org/officeDocument/2006/relationships/hyperlink" Target="https://pt.wikipedia.org/wiki/Mariano_Moro" TargetMode="External"/><Relationship Id="rId838" Type="http://schemas.openxmlformats.org/officeDocument/2006/relationships/hyperlink" Target="https://pt.wikipedia.org/wiki/Mesorregi%C3%A3o_do_Nordeste_Rio-Grandense" TargetMode="External"/><Relationship Id="rId1023" Type="http://schemas.openxmlformats.org/officeDocument/2006/relationships/hyperlink" Target="https://pt.wikipedia.org/wiki/Relvado" TargetMode="External"/><Relationship Id="rId1468" Type="http://schemas.openxmlformats.org/officeDocument/2006/relationships/hyperlink" Target="https://pt.wikipedia.org/wiki/Microrregi%C3%A3o_de_Passo_Fundo" TargetMode="External"/><Relationship Id="rId172" Type="http://schemas.openxmlformats.org/officeDocument/2006/relationships/hyperlink" Target="https://pt.wikipedia.org/wiki/Microrregi%C3%A3o_de_Montenegro" TargetMode="External"/><Relationship Id="rId477" Type="http://schemas.openxmlformats.org/officeDocument/2006/relationships/hyperlink" Target="https://pt.wikipedia.org/wiki/Microrregi%C3%A3o_de_Santa_Cruz_do_Sul" TargetMode="External"/><Relationship Id="rId600" Type="http://schemas.openxmlformats.org/officeDocument/2006/relationships/hyperlink" Target="https://pt.wikipedia.org/wiki/Microrregi%C3%A3o_de_Cruz_Alta" TargetMode="External"/><Relationship Id="rId684" Type="http://schemas.openxmlformats.org/officeDocument/2006/relationships/hyperlink" Target="https://pt.wikipedia.org/wiki/Microrregi%C3%A3o_de_Santa_Cruz_do_Sul" TargetMode="External"/><Relationship Id="rId1230" Type="http://schemas.openxmlformats.org/officeDocument/2006/relationships/hyperlink" Target="https://pt.wikipedia.org/wiki/S%C3%A3o_Pedro_do_Buti%C3%A1" TargetMode="External"/><Relationship Id="rId1328" Type="http://schemas.openxmlformats.org/officeDocument/2006/relationships/hyperlink" Target="https://pt.wikipedia.org/wiki/Mesorregi%C3%A3o_Metropolitana_de_Porto_Alegre" TargetMode="External"/><Relationship Id="rId337" Type="http://schemas.openxmlformats.org/officeDocument/2006/relationships/hyperlink" Target="https://pt.wikipedia.org/wiki/Mesorregi%C3%A3o_do_Noroeste_Rio-Grandense" TargetMode="External"/><Relationship Id="rId891" Type="http://schemas.openxmlformats.org/officeDocument/2006/relationships/hyperlink" Target="https://pt.wikipedia.org/wiki/Microrregi%C3%A3o_de_Iju%C3%AD" TargetMode="External"/><Relationship Id="rId905" Type="http://schemas.openxmlformats.org/officeDocument/2006/relationships/hyperlink" Target="https://pt.wikipedia.org/wiki/Parob%C3%A9" TargetMode="External"/><Relationship Id="rId989" Type="http://schemas.openxmlformats.org/officeDocument/2006/relationships/hyperlink" Target="https://pt.wikipedia.org/wiki/Mesorregi%C3%A3o_do_Noroeste_Rio-Grandense" TargetMode="External"/><Relationship Id="rId34" Type="http://schemas.openxmlformats.org/officeDocument/2006/relationships/hyperlink" Target="https://pt.wikipedia.org/wiki/Microrregi%C3%A3o_de_Montenegro" TargetMode="External"/><Relationship Id="rId544" Type="http://schemas.openxmlformats.org/officeDocument/2006/relationships/hyperlink" Target="https://pt.wikipedia.org/wiki/Mesorregi%C3%A3o_Metropolitana_de_Porto_Alegre" TargetMode="External"/><Relationship Id="rId751" Type="http://schemas.openxmlformats.org/officeDocument/2006/relationships/hyperlink" Target="https://pt.wikipedia.org/wiki/Mesorregi%C3%A3o_do_Noroeste_Rio-Grandense" TargetMode="External"/><Relationship Id="rId849" Type="http://schemas.openxmlformats.org/officeDocument/2006/relationships/hyperlink" Target="https://pt.wikipedia.org/wiki/Microrregi%C3%A3o_de_Iju%C3%AD" TargetMode="External"/><Relationship Id="rId1174" Type="http://schemas.openxmlformats.org/officeDocument/2006/relationships/hyperlink" Target="https://pt.wikipedia.org/wiki/Microrregi%C3%A3o_de_Carazinho" TargetMode="External"/><Relationship Id="rId1381" Type="http://schemas.openxmlformats.org/officeDocument/2006/relationships/hyperlink" Target="https://pt.wikipedia.org/wiki/Microrregi%C3%A3o_de_Frederico_Westphalen" TargetMode="External"/><Relationship Id="rId1479" Type="http://schemas.openxmlformats.org/officeDocument/2006/relationships/hyperlink" Target="https://pt.wikipedia.org/wiki/Vista_Alegre_do_Prata" TargetMode="External"/><Relationship Id="rId183" Type="http://schemas.openxmlformats.org/officeDocument/2006/relationships/hyperlink" Target="https://pt.wikipedia.org/wiki/Cachoeira_do_Sul" TargetMode="External"/><Relationship Id="rId390" Type="http://schemas.openxmlformats.org/officeDocument/2006/relationships/hyperlink" Target="https://pt.wikipedia.org/wiki/Microrregi%C3%A3o_de_Santo_%C3%82ngelo" TargetMode="External"/><Relationship Id="rId404" Type="http://schemas.openxmlformats.org/officeDocument/2006/relationships/hyperlink" Target="https://pt.wikipedia.org/wiki/Dom_Feliciano" TargetMode="External"/><Relationship Id="rId611" Type="http://schemas.openxmlformats.org/officeDocument/2006/relationships/hyperlink" Target="https://pt.wikipedia.org/wiki/Imb%C3%A9" TargetMode="External"/><Relationship Id="rId1034" Type="http://schemas.openxmlformats.org/officeDocument/2006/relationships/hyperlink" Target="https://pt.wikipedia.org/wiki/Mesorregi%C3%A3o_do_Sudeste_Rio-Grandense" TargetMode="External"/><Relationship Id="rId1241" Type="http://schemas.openxmlformats.org/officeDocument/2006/relationships/hyperlink" Target="https://pt.wikipedia.org/wiki/Mesorregi%C3%A3o_do_Centro_Ocidental_Rio-Grandense" TargetMode="External"/><Relationship Id="rId1339" Type="http://schemas.openxmlformats.org/officeDocument/2006/relationships/hyperlink" Target="https://pt.wikipedia.org/wiki/Microrregi%C3%A3o_de_Tr%C3%AAs_Passos" TargetMode="External"/><Relationship Id="rId250" Type="http://schemas.openxmlformats.org/officeDocument/2006/relationships/hyperlink" Target="https://pt.wikipedia.org/wiki/Microrregi%C3%A3o_de_Os%C3%B3rio" TargetMode="External"/><Relationship Id="rId488" Type="http://schemas.openxmlformats.org/officeDocument/2006/relationships/hyperlink" Target="https://pt.wikipedia.org/wiki/Faxinal_do_Soturno" TargetMode="External"/><Relationship Id="rId695" Type="http://schemas.openxmlformats.org/officeDocument/2006/relationships/hyperlink" Target="https://pt.wikipedia.org/wiki/Lajeado_(Rio_Grande_do_Sul)" TargetMode="External"/><Relationship Id="rId709" Type="http://schemas.openxmlformats.org/officeDocument/2006/relationships/hyperlink" Target="https://pt.wikipedia.org/wiki/Mesorregi%C3%A3o_Metropolitana_de_Porto_Alegre" TargetMode="External"/><Relationship Id="rId916" Type="http://schemas.openxmlformats.org/officeDocument/2006/relationships/hyperlink" Target="https://pt.wikipedia.org/wiki/Mesorregi%C3%A3o_do_Noroeste_Rio-Grandense" TargetMode="External"/><Relationship Id="rId1101" Type="http://schemas.openxmlformats.org/officeDocument/2006/relationships/hyperlink" Target="https://pt.wikipedia.org/wiki/Santa_Maria_do_Herval" TargetMode="External"/><Relationship Id="rId45" Type="http://schemas.openxmlformats.org/officeDocument/2006/relationships/hyperlink" Target="https://pt.wikipedia.org/wiki/Andr%C3%A9_da_Rocha" TargetMode="External"/><Relationship Id="rId110" Type="http://schemas.openxmlformats.org/officeDocument/2006/relationships/hyperlink" Target="https://pt.wikipedia.org/wiki/Mesorregi%C3%A3o_do_Sudoeste_Rio-Grandense" TargetMode="External"/><Relationship Id="rId348" Type="http://schemas.openxmlformats.org/officeDocument/2006/relationships/hyperlink" Target="https://pt.wikipedia.org/wiki/Microrregi%C3%A3o_de_Carazinho" TargetMode="External"/><Relationship Id="rId555" Type="http://schemas.openxmlformats.org/officeDocument/2006/relationships/hyperlink" Target="https://pt.wikipedia.org/wiki/Porto_Alegre" TargetMode="External"/><Relationship Id="rId762" Type="http://schemas.openxmlformats.org/officeDocument/2006/relationships/hyperlink" Target="https://pt.wikipedia.org/wiki/Microrregi%C3%A3o_de_S%C3%A3o_Jer%C3%B4nimo" TargetMode="External"/><Relationship Id="rId1185" Type="http://schemas.openxmlformats.org/officeDocument/2006/relationships/hyperlink" Target="https://pt.wikipedia.org/wiki/S%C3%A3o_Jos%C3%A9_do_Norte" TargetMode="External"/><Relationship Id="rId1392" Type="http://schemas.openxmlformats.org/officeDocument/2006/relationships/hyperlink" Target="https://pt.wikipedia.org/wiki/Tucunduva" TargetMode="External"/><Relationship Id="rId1406" Type="http://schemas.openxmlformats.org/officeDocument/2006/relationships/hyperlink" Target="https://pt.wikipedia.org/wiki/Mesorregi%C3%A3o_Metropolitana_de_Porto_Alegre" TargetMode="External"/><Relationship Id="rId194" Type="http://schemas.openxmlformats.org/officeDocument/2006/relationships/hyperlink" Target="https://pt.wikipedia.org/wiki/Mesorregi%C3%A3o_do_Noroeste_Rio-Grandense" TargetMode="External"/><Relationship Id="rId208" Type="http://schemas.openxmlformats.org/officeDocument/2006/relationships/hyperlink" Target="https://pt.wikipedia.org/wiki/Microrregi%C3%A3o_de_Vacaria" TargetMode="External"/><Relationship Id="rId415" Type="http://schemas.openxmlformats.org/officeDocument/2006/relationships/hyperlink" Target="https://pt.wikipedia.org/wiki/Mesorregi%C3%A3o_do_Centro_Ocidental_Rio-Grandense" TargetMode="External"/><Relationship Id="rId622" Type="http://schemas.openxmlformats.org/officeDocument/2006/relationships/hyperlink" Target="https://pt.wikipedia.org/wiki/Mesorregi%C3%A3o_do_Noroeste_Rio-Grandense" TargetMode="External"/><Relationship Id="rId1045" Type="http://schemas.openxmlformats.org/officeDocument/2006/relationships/hyperlink" Target="https://pt.wikipedia.org/wiki/Microrregi%C3%A3o_de_Frederico_Westphalen" TargetMode="External"/><Relationship Id="rId1252" Type="http://schemas.openxmlformats.org/officeDocument/2006/relationships/hyperlink" Target="https://pt.wikipedia.org/wiki/Microrregi%C3%A3o_de_Montenegro" TargetMode="External"/><Relationship Id="rId261" Type="http://schemas.openxmlformats.org/officeDocument/2006/relationships/hyperlink" Target="https://pt.wikipedia.org/wiki/Capit%C3%A3o_(Rio_Grande_do_Sul)" TargetMode="External"/><Relationship Id="rId499" Type="http://schemas.openxmlformats.org/officeDocument/2006/relationships/hyperlink" Target="https://pt.wikipedia.org/wiki/Mesorregi%C3%A3o_Metropolitana_de_Porto_Alegre" TargetMode="External"/><Relationship Id="rId927" Type="http://schemas.openxmlformats.org/officeDocument/2006/relationships/hyperlink" Target="https://pt.wikipedia.org/wiki/Microrregi%C3%A3o_de_Pelotas" TargetMode="External"/><Relationship Id="rId1112" Type="http://schemas.openxmlformats.org/officeDocument/2006/relationships/hyperlink" Target="https://pt.wikipedia.org/wiki/Mesorregi%C3%A3o_do_Sudeste_Rio-Grandense" TargetMode="External"/><Relationship Id="rId56" Type="http://schemas.openxmlformats.org/officeDocument/2006/relationships/hyperlink" Target="https://pt.wikipedia.org/wiki/Mesorregi%C3%A3o_Metropolitana_de_Porto_Alegre" TargetMode="External"/><Relationship Id="rId359" Type="http://schemas.openxmlformats.org/officeDocument/2006/relationships/hyperlink" Target="https://pt.wikipedia.org/wiki/Cotipor%C3%A3" TargetMode="External"/><Relationship Id="rId566" Type="http://schemas.openxmlformats.org/officeDocument/2006/relationships/hyperlink" Target="https://pt.wikipedia.org/wiki/Guarani_das_Miss%C3%B5es" TargetMode="External"/><Relationship Id="rId773" Type="http://schemas.openxmlformats.org/officeDocument/2006/relationships/hyperlink" Target="https://pt.wikipedia.org/wiki/Monte_Belo_do_Sul" TargetMode="External"/><Relationship Id="rId1196" Type="http://schemas.openxmlformats.org/officeDocument/2006/relationships/hyperlink" Target="https://pt.wikipedia.org/wiki/Mesorregi%C3%A3o_do_Nordeste_Rio-Grandense" TargetMode="External"/><Relationship Id="rId1417" Type="http://schemas.openxmlformats.org/officeDocument/2006/relationships/hyperlink" Target="https://pt.wikipedia.org/wiki/Microrregi%C3%A3o_de_Guapor%C3%A9" TargetMode="External"/><Relationship Id="rId121" Type="http://schemas.openxmlformats.org/officeDocument/2006/relationships/hyperlink" Target="https://pt.wikipedia.org/wiki/Microrregi%C3%A3o_de_Sananduva" TargetMode="External"/><Relationship Id="rId219" Type="http://schemas.openxmlformats.org/officeDocument/2006/relationships/hyperlink" Target="https://pt.wikipedia.org/wiki/Campo_Novo" TargetMode="External"/><Relationship Id="rId426" Type="http://schemas.openxmlformats.org/officeDocument/2006/relationships/hyperlink" Target="https://pt.wikipedia.org/wiki/Microrregi%C3%A3o_de_Lajeado-Estrela" TargetMode="External"/><Relationship Id="rId633" Type="http://schemas.openxmlformats.org/officeDocument/2006/relationships/hyperlink" Target="https://pt.wikipedia.org/wiki/Microrregi%C3%A3o_de_Santa_Maria" TargetMode="External"/><Relationship Id="rId980" Type="http://schemas.openxmlformats.org/officeDocument/2006/relationships/hyperlink" Target="https://pt.wikipedia.org/wiki/Mesorregi%C3%A3o_Metropolitana_de_Porto_Alegre" TargetMode="External"/><Relationship Id="rId1056" Type="http://schemas.openxmlformats.org/officeDocument/2006/relationships/hyperlink" Target="https://pt.wikipedia.org/wiki/Rondinha" TargetMode="External"/><Relationship Id="rId1263" Type="http://schemas.openxmlformats.org/officeDocument/2006/relationships/hyperlink" Target="https://pt.wikipedia.org/wiki/Sarandi_(Rio_Grande_do_Sul)" TargetMode="External"/><Relationship Id="rId840" Type="http://schemas.openxmlformats.org/officeDocument/2006/relationships/hyperlink" Target="https://pt.wikipedia.org/wiki/Microrregi%C3%A3o_de_Restinga_Seca" TargetMode="External"/><Relationship Id="rId938" Type="http://schemas.openxmlformats.org/officeDocument/2006/relationships/hyperlink" Target="https://pt.wikipedia.org/wiki/Pinhal_(Rio_Grande_do_Sul)" TargetMode="External"/><Relationship Id="rId1470" Type="http://schemas.openxmlformats.org/officeDocument/2006/relationships/hyperlink" Target="https://pt.wikipedia.org/wiki/Vila_Maria" TargetMode="External"/><Relationship Id="rId67" Type="http://schemas.openxmlformats.org/officeDocument/2006/relationships/hyperlink" Target="https://pt.wikipedia.org/wiki/Microrregi%C3%A3o_de_Pelotas" TargetMode="External"/><Relationship Id="rId272" Type="http://schemas.openxmlformats.org/officeDocument/2006/relationships/hyperlink" Target="https://pt.wikipedia.org/wiki/Mesorregi%C3%A3o_do_Noroeste_Rio-Grandense" TargetMode="External"/><Relationship Id="rId577" Type="http://schemas.openxmlformats.org/officeDocument/2006/relationships/hyperlink" Target="https://pt.wikipedia.org/wiki/Mesorregi%C3%A3o_do_Centro_Oriental_Rio-Grandense" TargetMode="External"/><Relationship Id="rId700" Type="http://schemas.openxmlformats.org/officeDocument/2006/relationships/hyperlink" Target="https://pt.wikipedia.org/wiki/Mesorregi%C3%A3o_do_Noroeste_Rio-Grandense" TargetMode="External"/><Relationship Id="rId1123" Type="http://schemas.openxmlformats.org/officeDocument/2006/relationships/hyperlink" Target="https://pt.wikipedia.org/wiki/Microrregi%C3%A3o_de_Santo_%C3%82ngelo" TargetMode="External"/><Relationship Id="rId1330" Type="http://schemas.openxmlformats.org/officeDocument/2006/relationships/hyperlink" Target="https://pt.wikipedia.org/wiki/Microrregi%C3%A3o_de_Lajeado-Estrela" TargetMode="External"/><Relationship Id="rId1428" Type="http://schemas.openxmlformats.org/officeDocument/2006/relationships/hyperlink" Target="https://pt.wikipedia.org/wiki/Vale_do_Sol" TargetMode="External"/><Relationship Id="rId132" Type="http://schemas.openxmlformats.org/officeDocument/2006/relationships/hyperlink" Target="https://pt.wikipedia.org/wiki/Boa_Vista_das_Miss%C3%B5es" TargetMode="External"/><Relationship Id="rId784" Type="http://schemas.openxmlformats.org/officeDocument/2006/relationships/hyperlink" Target="https://pt.wikipedia.org/wiki/Mesorregi%C3%A3o_Metropolitana_de_Porto_Alegre" TargetMode="External"/><Relationship Id="rId991" Type="http://schemas.openxmlformats.org/officeDocument/2006/relationships/hyperlink" Target="https://pt.wikipedia.org/wiki/Microrregi%C3%A3o_de_Cerro_Largo" TargetMode="External"/><Relationship Id="rId1067" Type="http://schemas.openxmlformats.org/officeDocument/2006/relationships/hyperlink" Target="https://pt.wikipedia.org/wiki/Mesorregi%C3%A3o_do_Noroeste_Rio-Grandense" TargetMode="External"/><Relationship Id="rId437" Type="http://schemas.openxmlformats.org/officeDocument/2006/relationships/hyperlink" Target="https://pt.wikipedia.org/wiki/Entre-Iju%C3%ADs" TargetMode="External"/><Relationship Id="rId644" Type="http://schemas.openxmlformats.org/officeDocument/2006/relationships/hyperlink" Target="https://pt.wikipedia.org/wiki/Itati" TargetMode="External"/><Relationship Id="rId851" Type="http://schemas.openxmlformats.org/officeDocument/2006/relationships/hyperlink" Target="https://pt.wikipedia.org/wiki/Nova_Roma_do_Sul" TargetMode="External"/><Relationship Id="rId1274" Type="http://schemas.openxmlformats.org/officeDocument/2006/relationships/hyperlink" Target="https://pt.wikipedia.org/wiki/Mesorregi%C3%A3o_do_Centro_Oriental_Rio-Grandense" TargetMode="External"/><Relationship Id="rId1481" Type="http://schemas.openxmlformats.org/officeDocument/2006/relationships/hyperlink" Target="https://pt.wikipedia.org/wiki/Mesorregi%C3%A3o_do_Nordeste_Rio-Grandense" TargetMode="External"/><Relationship Id="rId283" Type="http://schemas.openxmlformats.org/officeDocument/2006/relationships/hyperlink" Target="https://pt.wikipedia.org/wiki/Microrregi%C3%A3o_de_Passo_Fundo" TargetMode="External"/><Relationship Id="rId490" Type="http://schemas.openxmlformats.org/officeDocument/2006/relationships/hyperlink" Target="https://pt.wikipedia.org/wiki/Mesorregi%C3%A3o_do_Centro_Ocidental_Rio-Grandense" TargetMode="External"/><Relationship Id="rId504" Type="http://schemas.openxmlformats.org/officeDocument/2006/relationships/hyperlink" Target="https://pt.wikipedia.org/wiki/Microrregi%C3%A3o_de_Erechim" TargetMode="External"/><Relationship Id="rId711" Type="http://schemas.openxmlformats.org/officeDocument/2006/relationships/hyperlink" Target="https://pt.wikipedia.org/wiki/Microrregi%C3%A3o_de_Montenegro" TargetMode="External"/><Relationship Id="rId949" Type="http://schemas.openxmlformats.org/officeDocument/2006/relationships/hyperlink" Target="https://pt.wikipedia.org/wiki/Mesorregi%C3%A3o_do_Noroeste_Rio-Grandense" TargetMode="External"/><Relationship Id="rId1134" Type="http://schemas.openxmlformats.org/officeDocument/2006/relationships/hyperlink" Target="https://pt.wikipedia.org/wiki/Santo_Ant%C3%B4nio_do_Planalto" TargetMode="External"/><Relationship Id="rId1341" Type="http://schemas.openxmlformats.org/officeDocument/2006/relationships/hyperlink" Target="https://pt.wikipedia.org/wiki/Terra_de_Areia" TargetMode="External"/><Relationship Id="rId78" Type="http://schemas.openxmlformats.org/officeDocument/2006/relationships/hyperlink" Target="https://pt.wikipedia.org/wiki/Arroio_Grande" TargetMode="External"/><Relationship Id="rId143" Type="http://schemas.openxmlformats.org/officeDocument/2006/relationships/hyperlink" Target="https://pt.wikipedia.org/wiki/Mesorregi%C3%A3o_do_Noroeste_Rio-Grandense" TargetMode="External"/><Relationship Id="rId350" Type="http://schemas.openxmlformats.org/officeDocument/2006/relationships/hyperlink" Target="https://pt.wikipedia.org/wiki/Coronel_Barros" TargetMode="External"/><Relationship Id="rId588" Type="http://schemas.openxmlformats.org/officeDocument/2006/relationships/hyperlink" Target="https://pt.wikipedia.org/wiki/Microrregi%C3%A3o_de_Santa_Cruz_do_Sul" TargetMode="External"/><Relationship Id="rId795" Type="http://schemas.openxmlformats.org/officeDocument/2006/relationships/hyperlink" Target="https://pt.wikipedia.org/wiki/Microrregi%C3%A3o_de_Lajeado-Estrela" TargetMode="External"/><Relationship Id="rId809" Type="http://schemas.openxmlformats.org/officeDocument/2006/relationships/hyperlink" Target="https://pt.wikipedia.org/wiki/Nonoai" TargetMode="External"/><Relationship Id="rId1201" Type="http://schemas.openxmlformats.org/officeDocument/2006/relationships/hyperlink" Target="https://pt.wikipedia.org/wiki/Microrregi%C3%A3o_de_Pelotas" TargetMode="External"/><Relationship Id="rId1439" Type="http://schemas.openxmlformats.org/officeDocument/2006/relationships/hyperlink" Target="https://pt.wikipedia.org/wiki/Mesorregi%C3%A3o_do_Noroeste_Rio-Grandense" TargetMode="External"/><Relationship Id="rId9" Type="http://schemas.openxmlformats.org/officeDocument/2006/relationships/hyperlink" Target="https://pt.wikipedia.org/wiki/Agudo" TargetMode="External"/><Relationship Id="rId210" Type="http://schemas.openxmlformats.org/officeDocument/2006/relationships/hyperlink" Target="https://pt.wikipedia.org/wiki/Campina_das_Miss%C3%B5es" TargetMode="External"/><Relationship Id="rId448" Type="http://schemas.openxmlformats.org/officeDocument/2006/relationships/hyperlink" Target="https://pt.wikipedia.org/wiki/Mesorregi%C3%A3o_do_Noroeste_Rio-Grandense" TargetMode="External"/><Relationship Id="rId655" Type="http://schemas.openxmlformats.org/officeDocument/2006/relationships/hyperlink" Target="https://pt.wikipedia.org/wiki/Mesorregi%C3%A3o_Metropolitana_de_Porto_Alegre" TargetMode="External"/><Relationship Id="rId862" Type="http://schemas.openxmlformats.org/officeDocument/2006/relationships/hyperlink" Target="https://pt.wikipedia.org/wiki/Mesorregi%C3%A3o_do_Centro_Oriental_Rio-Grandense" TargetMode="External"/><Relationship Id="rId1078" Type="http://schemas.openxmlformats.org/officeDocument/2006/relationships/hyperlink" Target="https://pt.wikipedia.org/wiki/Microrregi%C3%A3o_de_Montenegro" TargetMode="External"/><Relationship Id="rId1285" Type="http://schemas.openxmlformats.org/officeDocument/2006/relationships/hyperlink" Target="https://pt.wikipedia.org/wiki/Microrregi%C3%A3o_de_Guapor%C3%A9" TargetMode="External"/><Relationship Id="rId1492" Type="http://schemas.openxmlformats.org/officeDocument/2006/relationships/hyperlink" Target="https://pt.wikipedia.org/wiki/Microrregi%C3%A3o_de_Os%C3%B3rio" TargetMode="External"/><Relationship Id="rId294" Type="http://schemas.openxmlformats.org/officeDocument/2006/relationships/hyperlink" Target="https://pt.wikipedia.org/wiki/Cerrito" TargetMode="External"/><Relationship Id="rId308" Type="http://schemas.openxmlformats.org/officeDocument/2006/relationships/hyperlink" Target="https://pt.wikipedia.org/wiki/Mesorregi%C3%A3o_do_Noroeste_Rio-Grandense" TargetMode="External"/><Relationship Id="rId515" Type="http://schemas.openxmlformats.org/officeDocument/2006/relationships/hyperlink" Target="https://pt.wikipedia.org/wiki/Fortaleza_dos_Valos" TargetMode="External"/><Relationship Id="rId722" Type="http://schemas.openxmlformats.org/officeDocument/2006/relationships/hyperlink" Target="https://pt.wikipedia.org/wiki/Manoel_Viana" TargetMode="External"/><Relationship Id="rId1145" Type="http://schemas.openxmlformats.org/officeDocument/2006/relationships/hyperlink" Target="https://pt.wikipedia.org/wiki/Mesorregi%C3%A3o_do_Noroeste_Rio-Grandense" TargetMode="External"/><Relationship Id="rId1352" Type="http://schemas.openxmlformats.org/officeDocument/2006/relationships/hyperlink" Target="https://pt.wikipedia.org/wiki/Mesorregi%C3%A3o_do_Noroeste_Rio-Grandense" TargetMode="External"/><Relationship Id="rId89" Type="http://schemas.openxmlformats.org/officeDocument/2006/relationships/hyperlink" Target="https://pt.wikipedia.org/wiki/Mesorregi%C3%A3o_do_Noroeste_Rio-Grandense" TargetMode="External"/><Relationship Id="rId154" Type="http://schemas.openxmlformats.org/officeDocument/2006/relationships/hyperlink" Target="https://pt.wikipedia.org/wiki/Microrregi%C3%A3o_de_Tr%C3%AAs_Passos" TargetMode="External"/><Relationship Id="rId361" Type="http://schemas.openxmlformats.org/officeDocument/2006/relationships/hyperlink" Target="https://pt.wikipedia.org/wiki/Mesorregi%C3%A3o_do_Nordeste_Rio-Grandense" TargetMode="External"/><Relationship Id="rId599" Type="http://schemas.openxmlformats.org/officeDocument/2006/relationships/hyperlink" Target="https://pt.wikipedia.org/wiki/Ibirub%C3%A1" TargetMode="External"/><Relationship Id="rId1005" Type="http://schemas.openxmlformats.org/officeDocument/2006/relationships/hyperlink" Target="https://pt.wikipedia.org/wiki/Putinga" TargetMode="External"/><Relationship Id="rId1212" Type="http://schemas.openxmlformats.org/officeDocument/2006/relationships/hyperlink" Target="https://pt.wikipedia.org/wiki/S%C3%A3o_Martinho_da_Serra" TargetMode="External"/><Relationship Id="rId459" Type="http://schemas.openxmlformats.org/officeDocument/2006/relationships/hyperlink" Target="https://pt.wikipedia.org/wiki/Microrregi%C3%A3o_de_Tr%C3%AAs_Passos" TargetMode="External"/><Relationship Id="rId666" Type="http://schemas.openxmlformats.org/officeDocument/2006/relationships/hyperlink" Target="https://pt.wikipedia.org/wiki/Microrregi%C3%A3o_de_Jaguar%C3%A3o" TargetMode="External"/><Relationship Id="rId873" Type="http://schemas.openxmlformats.org/officeDocument/2006/relationships/hyperlink" Target="https://pt.wikipedia.org/wiki/Microrregi%C3%A3o_de_Frederico_Westphalen" TargetMode="External"/><Relationship Id="rId1089" Type="http://schemas.openxmlformats.org/officeDocument/2006/relationships/hyperlink" Target="https://pt.wikipedia.org/wiki/Santa_Clara_do_Sul" TargetMode="External"/><Relationship Id="rId1296" Type="http://schemas.openxmlformats.org/officeDocument/2006/relationships/hyperlink" Target="https://pt.wikipedia.org/wiki/Sete_de_Setembro" TargetMode="External"/><Relationship Id="rId16" Type="http://schemas.openxmlformats.org/officeDocument/2006/relationships/hyperlink" Target="https://pt.wikipedia.org/wiki/Microrregi%C3%A3o_de_Santa_Rosa" TargetMode="External"/><Relationship Id="rId221" Type="http://schemas.openxmlformats.org/officeDocument/2006/relationships/hyperlink" Target="https://pt.wikipedia.org/wiki/Mesorregi%C3%A3o_do_Noroeste_Rio-Grandense" TargetMode="External"/><Relationship Id="rId319" Type="http://schemas.openxmlformats.org/officeDocument/2006/relationships/hyperlink" Target="https://pt.wikipedia.org/wiki/Microrregi%C3%A3o_de_Iju%C3%AD" TargetMode="External"/><Relationship Id="rId526" Type="http://schemas.openxmlformats.org/officeDocument/2006/relationships/hyperlink" Target="https://pt.wikipedia.org/wiki/Mesorregi%C3%A3o_do_Sudoeste_Rio-Grandense" TargetMode="External"/><Relationship Id="rId1156" Type="http://schemas.openxmlformats.org/officeDocument/2006/relationships/hyperlink" Target="https://pt.wikipedia.org/wiki/Microrregi%C3%A3o_de_Vacaria" TargetMode="External"/><Relationship Id="rId1363" Type="http://schemas.openxmlformats.org/officeDocument/2006/relationships/hyperlink" Target="https://pt.wikipedia.org/wiki/Microrregi%C3%A3o_de_Lajeado-Estrela" TargetMode="External"/><Relationship Id="rId733" Type="http://schemas.openxmlformats.org/officeDocument/2006/relationships/hyperlink" Target="https://pt.wikipedia.org/wiki/Mesorregi%C3%A3o_do_Noroeste_Rio-Grandense" TargetMode="External"/><Relationship Id="rId940" Type="http://schemas.openxmlformats.org/officeDocument/2006/relationships/hyperlink" Target="https://pt.wikipedia.org/wiki/Mesorregi%C3%A3o_do_Noroeste_Rio-Grandense" TargetMode="External"/><Relationship Id="rId1016" Type="http://schemas.openxmlformats.org/officeDocument/2006/relationships/hyperlink" Target="https://pt.wikipedia.org/wiki/Mesorregi%C3%A3o_do_Centro_Ocidental_Rio-Grandense" TargetMode="External"/><Relationship Id="rId165" Type="http://schemas.openxmlformats.org/officeDocument/2006/relationships/hyperlink" Target="https://pt.wikipedia.org/wiki/Bozano" TargetMode="External"/><Relationship Id="rId372" Type="http://schemas.openxmlformats.org/officeDocument/2006/relationships/hyperlink" Target="https://pt.wikipedia.org/wiki/Microrregi%C3%A3o_de_Frederico_Westphalen" TargetMode="External"/><Relationship Id="rId677" Type="http://schemas.openxmlformats.org/officeDocument/2006/relationships/hyperlink" Target="https://pt.wikipedia.org/wiki/J%C3%B3ia_(Rio_Grande_do_Sul)" TargetMode="External"/><Relationship Id="rId800" Type="http://schemas.openxmlformats.org/officeDocument/2006/relationships/hyperlink" Target="https://pt.wikipedia.org/wiki/Muliterno" TargetMode="External"/><Relationship Id="rId1223" Type="http://schemas.openxmlformats.org/officeDocument/2006/relationships/hyperlink" Target="https://pt.wikipedia.org/wiki/Mesorregi%C3%A3o_do_Noroeste_Rio-Grandense" TargetMode="External"/><Relationship Id="rId1430" Type="http://schemas.openxmlformats.org/officeDocument/2006/relationships/hyperlink" Target="https://pt.wikipedia.org/wiki/Mesorregi%C3%A3o_do_Centro_Oriental_Rio-Grandense" TargetMode="External"/><Relationship Id="rId232" Type="http://schemas.openxmlformats.org/officeDocument/2006/relationships/hyperlink" Target="https://pt.wikipedia.org/wiki/Microrregi%C3%A3o_das_Serras_de_Sudeste" TargetMode="External"/><Relationship Id="rId884" Type="http://schemas.openxmlformats.org/officeDocument/2006/relationships/hyperlink" Target="https://pt.wikipedia.org/wiki/Palmeira_das_Miss%C3%B5es" TargetMode="External"/><Relationship Id="rId27" Type="http://schemas.openxmlformats.org/officeDocument/2006/relationships/hyperlink" Target="https://pt.wikipedia.org/wiki/Alpestre" TargetMode="External"/><Relationship Id="rId537" Type="http://schemas.openxmlformats.org/officeDocument/2006/relationships/hyperlink" Target="https://pt.wikipedia.org/wiki/Microrregi%C3%A3o_de_Erechim" TargetMode="External"/><Relationship Id="rId744" Type="http://schemas.openxmlformats.org/officeDocument/2006/relationships/hyperlink" Target="https://pt.wikipedia.org/wiki/Microrregi%C3%A3o_de_Lajeado-Estrela" TargetMode="External"/><Relationship Id="rId951" Type="http://schemas.openxmlformats.org/officeDocument/2006/relationships/hyperlink" Target="https://pt.wikipedia.org/wiki/Microrregi%C3%A3o_das_Serras_de_Sudeste" TargetMode="External"/><Relationship Id="rId1167" Type="http://schemas.openxmlformats.org/officeDocument/2006/relationships/hyperlink" Target="https://pt.wikipedia.org/wiki/S%C3%A3o_Jo%C3%A3o_do_Pol%C3%AAsine" TargetMode="External"/><Relationship Id="rId1374" Type="http://schemas.openxmlformats.org/officeDocument/2006/relationships/hyperlink" Target="https://pt.wikipedia.org/wiki/Tr%C3%AAs_de_Maio" TargetMode="External"/><Relationship Id="rId80" Type="http://schemas.openxmlformats.org/officeDocument/2006/relationships/hyperlink" Target="https://pt.wikipedia.org/wiki/Mesorregi%C3%A3o_do_Sudeste_Rio-Grandense" TargetMode="External"/><Relationship Id="rId176" Type="http://schemas.openxmlformats.org/officeDocument/2006/relationships/hyperlink" Target="https://pt.wikipedia.org/wiki/Mesorregi%C3%A3o_Metropolitana_de_Porto_Alegre" TargetMode="External"/><Relationship Id="rId383" Type="http://schemas.openxmlformats.org/officeDocument/2006/relationships/hyperlink" Target="https://pt.wikipedia.org/wiki/David_Canabarro_(Rio_Grande_do_Sul)" TargetMode="External"/><Relationship Id="rId590" Type="http://schemas.openxmlformats.org/officeDocument/2006/relationships/hyperlink" Target="https://pt.wikipedia.org/wiki/Ibia%C3%A7%C3%A1" TargetMode="External"/><Relationship Id="rId604" Type="http://schemas.openxmlformats.org/officeDocument/2006/relationships/hyperlink" Target="https://pt.wikipedia.org/wiki/Mesorregi%C3%A3o_Metropolitana_de_Porto_Alegre" TargetMode="External"/><Relationship Id="rId811" Type="http://schemas.openxmlformats.org/officeDocument/2006/relationships/hyperlink" Target="https://pt.wikipedia.org/wiki/Mesorregi%C3%A3o_do_Noroeste_Rio-Grandense" TargetMode="External"/><Relationship Id="rId1027" Type="http://schemas.openxmlformats.org/officeDocument/2006/relationships/hyperlink" Target="https://pt.wikipedia.org/wiki/Microrregi%C3%A3o_de_Restinga_Seca" TargetMode="External"/><Relationship Id="rId1234" Type="http://schemas.openxmlformats.org/officeDocument/2006/relationships/hyperlink" Target="https://pt.wikipedia.org/wiki/Microrregi%C3%A3o_de_Santa_Maria" TargetMode="External"/><Relationship Id="rId1441" Type="http://schemas.openxmlformats.org/officeDocument/2006/relationships/hyperlink" Target="https://pt.wikipedia.org/wiki/Microrregi%C3%A3o_de_Santa_Cruz_do_Sul" TargetMode="External"/><Relationship Id="rId243" Type="http://schemas.openxmlformats.org/officeDocument/2006/relationships/hyperlink" Target="https://pt.wikipedia.org/wiki/Canudos_do_Vale" TargetMode="External"/><Relationship Id="rId450" Type="http://schemas.openxmlformats.org/officeDocument/2006/relationships/hyperlink" Target="https://pt.wikipedia.org/wiki/Microrregi%C3%A3o_de_Erechim" TargetMode="External"/><Relationship Id="rId688" Type="http://schemas.openxmlformats.org/officeDocument/2006/relationships/hyperlink" Target="https://pt.wikipedia.org/wiki/Mesorregi%C3%A3o_do_Noroeste_Rio-Grandense" TargetMode="External"/><Relationship Id="rId895" Type="http://schemas.openxmlformats.org/officeDocument/2006/relationships/hyperlink" Target="https://pt.wikipedia.org/wiki/Mesorregi%C3%A3o_do_Centro_Oriental_Rio-Grandense" TargetMode="External"/><Relationship Id="rId909" Type="http://schemas.openxmlformats.org/officeDocument/2006/relationships/hyperlink" Target="https://pt.wikipedia.org/wiki/Microrregi%C3%A3o_de_Santa_Cruz_do_Sul" TargetMode="External"/><Relationship Id="rId1080" Type="http://schemas.openxmlformats.org/officeDocument/2006/relationships/hyperlink" Target="https://pt.wikipedia.org/wiki/Sananduva" TargetMode="External"/><Relationship Id="rId1301" Type="http://schemas.openxmlformats.org/officeDocument/2006/relationships/hyperlink" Target="https://pt.wikipedia.org/wiki/Mesorregi%C3%A3o_do_Noroeste_Rio-Grandense" TargetMode="External"/><Relationship Id="rId38" Type="http://schemas.openxmlformats.org/officeDocument/2006/relationships/hyperlink" Target="https://pt.wikipedia.org/wiki/Mesorregi%C3%A3o_Metropolitana_de_Porto_Alegre" TargetMode="External"/><Relationship Id="rId103" Type="http://schemas.openxmlformats.org/officeDocument/2006/relationships/hyperlink" Target="https://pt.wikipedia.org/wiki/Microrregi%C3%A3o_de_S%C3%A3o_Jer%C3%B4nimo" TargetMode="External"/><Relationship Id="rId310" Type="http://schemas.openxmlformats.org/officeDocument/2006/relationships/hyperlink" Target="https://pt.wikipedia.org/wiki/Microrregi%C3%A3o_de_Carazinho" TargetMode="External"/><Relationship Id="rId548" Type="http://schemas.openxmlformats.org/officeDocument/2006/relationships/hyperlink" Target="https://pt.wikipedia.org/wiki/Gramado_dos_Loureiros" TargetMode="External"/><Relationship Id="rId755" Type="http://schemas.openxmlformats.org/officeDocument/2006/relationships/hyperlink" Target="https://pt.wikipedia.org/wiki/Mato_Queimado" TargetMode="External"/><Relationship Id="rId962" Type="http://schemas.openxmlformats.org/officeDocument/2006/relationships/hyperlink" Target="https://pt.wikipedia.org/wiki/Mesorregi%C3%A3o_do_Sudeste_Rio-Grandense" TargetMode="External"/><Relationship Id="rId1178" Type="http://schemas.openxmlformats.org/officeDocument/2006/relationships/hyperlink" Target="https://pt.wikipedia.org/wiki/Mesorregi%C3%A3o_do_Noroeste_Rio-Grandense" TargetMode="External"/><Relationship Id="rId1385" Type="http://schemas.openxmlformats.org/officeDocument/2006/relationships/hyperlink" Target="https://pt.wikipedia.org/wiki/Mesorregi%C3%A3o_do_Noroeste_Rio-Grandense" TargetMode="External"/><Relationship Id="rId91" Type="http://schemas.openxmlformats.org/officeDocument/2006/relationships/hyperlink" Target="https://pt.wikipedia.org/wiki/Microrregi%C3%A3o_da_Campanha_Meridional" TargetMode="External"/><Relationship Id="rId187" Type="http://schemas.openxmlformats.org/officeDocument/2006/relationships/hyperlink" Target="https://pt.wikipedia.org/wiki/Microrregi%C3%A3o_de_Porto_Alegre" TargetMode="External"/><Relationship Id="rId394" Type="http://schemas.openxmlformats.org/officeDocument/2006/relationships/hyperlink" Target="https://pt.wikipedia.org/wiki/Mesorregi%C3%A3o_do_Centro_Ocidental_Rio-Grandense" TargetMode="External"/><Relationship Id="rId408" Type="http://schemas.openxmlformats.org/officeDocument/2006/relationships/hyperlink" Target="https://pt.wikipedia.org/wiki/Microrregi%C3%A3o_da_Campanha_Meridional" TargetMode="External"/><Relationship Id="rId615" Type="http://schemas.openxmlformats.org/officeDocument/2006/relationships/hyperlink" Target="https://pt.wikipedia.org/wiki/Microrregi%C3%A3o_de_Lajeado-Estrela" TargetMode="External"/><Relationship Id="rId822" Type="http://schemas.openxmlformats.org/officeDocument/2006/relationships/hyperlink" Target="https://pt.wikipedia.org/wiki/Microrregi%C3%A3o_de_Carazinho" TargetMode="External"/><Relationship Id="rId1038" Type="http://schemas.openxmlformats.org/officeDocument/2006/relationships/hyperlink" Target="https://pt.wikipedia.org/wiki/Riozinho" TargetMode="External"/><Relationship Id="rId1245" Type="http://schemas.openxmlformats.org/officeDocument/2006/relationships/hyperlink" Target="https://pt.wikipedia.org/wiki/S%C3%A3o_Valentim_do_Sul" TargetMode="External"/><Relationship Id="rId1452" Type="http://schemas.openxmlformats.org/officeDocument/2006/relationships/hyperlink" Target="https://pt.wikipedia.org/wiki/Viadutos" TargetMode="External"/><Relationship Id="rId254" Type="http://schemas.openxmlformats.org/officeDocument/2006/relationships/hyperlink" Target="https://pt.wikipedia.org/wiki/Mesorregi%C3%A3o_do_Centro_Ocidental_Rio-Grandense" TargetMode="External"/><Relationship Id="rId699" Type="http://schemas.openxmlformats.org/officeDocument/2006/relationships/hyperlink" Target="https://pt.wikipedia.org/wiki/Microrregi%C3%A3o_de_Carazinho" TargetMode="External"/><Relationship Id="rId1091" Type="http://schemas.openxmlformats.org/officeDocument/2006/relationships/hyperlink" Target="https://pt.wikipedia.org/wiki/Mesorregi%C3%A3o_do_Centro_Oriental_Rio-Grandense" TargetMode="External"/><Relationship Id="rId1105" Type="http://schemas.openxmlformats.org/officeDocument/2006/relationships/hyperlink" Target="https://pt.wikipedia.org/wiki/Microrregi%C3%A3o_de_Santa_Rosa" TargetMode="External"/><Relationship Id="rId1312" Type="http://schemas.openxmlformats.org/officeDocument/2006/relationships/hyperlink" Target="https://pt.wikipedia.org/wiki/Microrregi%C3%A3o_de_Soledade" TargetMode="External"/><Relationship Id="rId49" Type="http://schemas.openxmlformats.org/officeDocument/2006/relationships/hyperlink" Target="https://pt.wikipedia.org/wiki/Microrregi%C3%A3o_de_Guapor%C3%A9" TargetMode="External"/><Relationship Id="rId114" Type="http://schemas.openxmlformats.org/officeDocument/2006/relationships/hyperlink" Target="https://pt.wikipedia.org/wiki/Barra_do_Rio_Azul" TargetMode="External"/><Relationship Id="rId461" Type="http://schemas.openxmlformats.org/officeDocument/2006/relationships/hyperlink" Target="https://pt.wikipedia.org/wiki/Espumoso" TargetMode="External"/><Relationship Id="rId559" Type="http://schemas.openxmlformats.org/officeDocument/2006/relationships/hyperlink" Target="https://pt.wikipedia.org/wiki/Mesorregi%C3%A3o_do_Nordeste_Rio-Grandense" TargetMode="External"/><Relationship Id="rId766" Type="http://schemas.openxmlformats.org/officeDocument/2006/relationships/hyperlink" Target="https://pt.wikipedia.org/wiki/Mesorregi%C3%A3o_do_Noroeste_Rio-Grandense" TargetMode="External"/><Relationship Id="rId1189" Type="http://schemas.openxmlformats.org/officeDocument/2006/relationships/hyperlink" Target="https://pt.wikipedia.org/wiki/Microrregi%C3%A3o_de_Sananduva" TargetMode="External"/><Relationship Id="rId1396" Type="http://schemas.openxmlformats.org/officeDocument/2006/relationships/hyperlink" Target="https://pt.wikipedia.org/wiki/Microrregi%C3%A3o_de_Soledade" TargetMode="External"/><Relationship Id="rId198" Type="http://schemas.openxmlformats.org/officeDocument/2006/relationships/hyperlink" Target="https://pt.wikipedia.org/wiki/Camaqu%C3%A3" TargetMode="External"/><Relationship Id="rId321" Type="http://schemas.openxmlformats.org/officeDocument/2006/relationships/hyperlink" Target="https://pt.wikipedia.org/wiki/Chu%C3%AD" TargetMode="External"/><Relationship Id="rId419" Type="http://schemas.openxmlformats.org/officeDocument/2006/relationships/hyperlink" Target="https://pt.wikipedia.org/wiki/Doutor_Ricardo" TargetMode="External"/><Relationship Id="rId626" Type="http://schemas.openxmlformats.org/officeDocument/2006/relationships/hyperlink" Target="https://pt.wikipedia.org/wiki/Ipiranga_do_Sul" TargetMode="External"/><Relationship Id="rId973" Type="http://schemas.openxmlformats.org/officeDocument/2006/relationships/hyperlink" Target="https://pt.wikipedia.org/wiki/Microrregi%C3%A3o_de_Erechim" TargetMode="External"/><Relationship Id="rId1049" Type="http://schemas.openxmlformats.org/officeDocument/2006/relationships/hyperlink" Target="https://pt.wikipedia.org/wiki/Mesorregi%C3%A3o_do_Noroeste_Rio-Grandense" TargetMode="External"/><Relationship Id="rId1256" Type="http://schemas.openxmlformats.org/officeDocument/2006/relationships/hyperlink" Target="https://pt.wikipedia.org/wiki/Mesorregi%C3%A3o_do_Centro_Ocidental_Rio-Grandense" TargetMode="External"/><Relationship Id="rId833" Type="http://schemas.openxmlformats.org/officeDocument/2006/relationships/hyperlink" Target="https://pt.wikipedia.org/wiki/Nova_Hartz" TargetMode="External"/><Relationship Id="rId1116" Type="http://schemas.openxmlformats.org/officeDocument/2006/relationships/hyperlink" Target="https://pt.wikipedia.org/wiki/Santana_do_Livramento" TargetMode="External"/><Relationship Id="rId1463" Type="http://schemas.openxmlformats.org/officeDocument/2006/relationships/hyperlink" Target="https://pt.wikipedia.org/wiki/Mesorregi%C3%A3o_do_Noroeste_Rio-Grandense" TargetMode="External"/><Relationship Id="rId265" Type="http://schemas.openxmlformats.org/officeDocument/2006/relationships/hyperlink" Target="https://pt.wikipedia.org/wiki/Microrregi%C3%A3o_de_Os%C3%B3rio" TargetMode="External"/><Relationship Id="rId472" Type="http://schemas.openxmlformats.org/officeDocument/2006/relationships/hyperlink" Target="https://pt.wikipedia.org/wiki/Mesorregi%C3%A3o_Metropolitana_de_Porto_Alegre" TargetMode="External"/><Relationship Id="rId900" Type="http://schemas.openxmlformats.org/officeDocument/2006/relationships/hyperlink" Target="https://pt.wikipedia.org/wiki/Microrregi%C3%A3o_de_Cachoeira_do_Sul" TargetMode="External"/><Relationship Id="rId1323" Type="http://schemas.openxmlformats.org/officeDocument/2006/relationships/hyperlink" Target="https://pt.wikipedia.org/wiki/Tapes_(Rio_Grande_do_Sul)" TargetMode="External"/><Relationship Id="rId125" Type="http://schemas.openxmlformats.org/officeDocument/2006/relationships/hyperlink" Target="https://pt.wikipedia.org/wiki/Mesorregi%C3%A3o_do_Noroeste_Rio-Grandense" TargetMode="External"/><Relationship Id="rId332" Type="http://schemas.openxmlformats.org/officeDocument/2006/relationships/hyperlink" Target="https://pt.wikipedia.org/wiki/Colinas_(Rio_Grande_do_Sul)" TargetMode="External"/><Relationship Id="rId777" Type="http://schemas.openxmlformats.org/officeDocument/2006/relationships/hyperlink" Target="https://pt.wikipedia.org/wiki/Microrregi%C3%A3o_de_Montenegro" TargetMode="External"/><Relationship Id="rId984" Type="http://schemas.openxmlformats.org/officeDocument/2006/relationships/hyperlink" Target="https://pt.wikipedia.org/wiki/Porto_Mau%C3%A1" TargetMode="External"/><Relationship Id="rId637" Type="http://schemas.openxmlformats.org/officeDocument/2006/relationships/hyperlink" Target="https://pt.wikipedia.org/wiki/Mesorregi%C3%A3o_do_Centro_Ocidental_Rio-Grandense" TargetMode="External"/><Relationship Id="rId844" Type="http://schemas.openxmlformats.org/officeDocument/2006/relationships/hyperlink" Target="https://pt.wikipedia.org/wiki/Mesorregi%C3%A3o_Metropolitana_de_Porto_Alegre" TargetMode="External"/><Relationship Id="rId1267" Type="http://schemas.openxmlformats.org/officeDocument/2006/relationships/hyperlink" Target="https://pt.wikipedia.org/wiki/Microrregi%C3%A3o_de_Frederico_Westphalen" TargetMode="External"/><Relationship Id="rId1474" Type="http://schemas.openxmlformats.org/officeDocument/2006/relationships/hyperlink" Target="https://pt.wikipedia.org/wiki/Microrregi%C3%A3o_de_Santa_Maria" TargetMode="External"/><Relationship Id="rId276" Type="http://schemas.openxmlformats.org/officeDocument/2006/relationships/hyperlink" Target="https://pt.wikipedia.org/wiki/Carlos_Gomes_(Rio_Grande_do_Sul)" TargetMode="External"/><Relationship Id="rId483" Type="http://schemas.openxmlformats.org/officeDocument/2006/relationships/hyperlink" Target="https://pt.wikipedia.org/wiki/Microrregi%C3%A3o_de_Caxias_do_Sul" TargetMode="External"/><Relationship Id="rId690" Type="http://schemas.openxmlformats.org/officeDocument/2006/relationships/hyperlink" Target="https://pt.wikipedia.org/wiki/Microrregi%C3%A3o_de_Vacaria" TargetMode="External"/><Relationship Id="rId704" Type="http://schemas.openxmlformats.org/officeDocument/2006/relationships/hyperlink" Target="https://pt.wikipedia.org/wiki/Liberato_Salzano" TargetMode="External"/><Relationship Id="rId911" Type="http://schemas.openxmlformats.org/officeDocument/2006/relationships/hyperlink" Target="https://pt.wikipedia.org/wiki/Passo_do_Sobrado" TargetMode="External"/><Relationship Id="rId1127" Type="http://schemas.openxmlformats.org/officeDocument/2006/relationships/hyperlink" Target="https://pt.wikipedia.org/wiki/Mesorregi%C3%A3o_Metropolitana_de_Porto_Alegre" TargetMode="External"/><Relationship Id="rId1334" Type="http://schemas.openxmlformats.org/officeDocument/2006/relationships/hyperlink" Target="https://pt.wikipedia.org/wiki/Mesorregi%C3%A3o_do_Noroeste_Rio-Grandense" TargetMode="External"/><Relationship Id="rId40" Type="http://schemas.openxmlformats.org/officeDocument/2006/relationships/hyperlink" Target="https://pt.wikipedia.org/wiki/Microrregi%C3%A3o_das_Serras_de_Sudeste" TargetMode="External"/><Relationship Id="rId136" Type="http://schemas.openxmlformats.org/officeDocument/2006/relationships/hyperlink" Target="https://pt.wikipedia.org/wiki/Microrregi%C3%A3o_de_Tr%C3%AAs_Passos" TargetMode="External"/><Relationship Id="rId343" Type="http://schemas.openxmlformats.org/officeDocument/2006/relationships/hyperlink" Target="https://pt.wikipedia.org/wiki/Mesorregi%C3%A3o_do_Noroeste_Rio-Grandense" TargetMode="External"/><Relationship Id="rId550" Type="http://schemas.openxmlformats.org/officeDocument/2006/relationships/hyperlink" Target="https://pt.wikipedia.org/wiki/Mesorregi%C3%A3o_do_Noroeste_Rio-Grandense" TargetMode="External"/><Relationship Id="rId788" Type="http://schemas.openxmlformats.org/officeDocument/2006/relationships/hyperlink" Target="https://pt.wikipedia.org/wiki/Morro_Reuter" TargetMode="External"/><Relationship Id="rId995" Type="http://schemas.openxmlformats.org/officeDocument/2006/relationships/hyperlink" Target="https://pt.wikipedia.org/wiki/Mesorregi%C3%A3o_do_Centro_Oriental_Rio-Grandense" TargetMode="External"/><Relationship Id="rId1180" Type="http://schemas.openxmlformats.org/officeDocument/2006/relationships/hyperlink" Target="https://pt.wikipedia.org/wiki/Microrregi%C3%A3o_de_Montenegro" TargetMode="External"/><Relationship Id="rId1401" Type="http://schemas.openxmlformats.org/officeDocument/2006/relationships/hyperlink" Target="https://pt.wikipedia.org/wiki/Tupanciret%C3%A3" TargetMode="External"/><Relationship Id="rId203" Type="http://schemas.openxmlformats.org/officeDocument/2006/relationships/hyperlink" Target="https://pt.wikipedia.org/wiki/Mesorregi%C3%A3o_do_Noroeste_Rio-Grandense" TargetMode="External"/><Relationship Id="rId648" Type="http://schemas.openxmlformats.org/officeDocument/2006/relationships/hyperlink" Target="https://pt.wikipedia.org/wiki/Microrregi%C3%A3o_de_Erechim" TargetMode="External"/><Relationship Id="rId855" Type="http://schemas.openxmlformats.org/officeDocument/2006/relationships/hyperlink" Target="https://pt.wikipedia.org/wiki/Microrregi%C3%A3o_de_Porto_Alegre" TargetMode="External"/><Relationship Id="rId1040" Type="http://schemas.openxmlformats.org/officeDocument/2006/relationships/hyperlink" Target="https://pt.wikipedia.org/wiki/Mesorregi%C3%A3o_Metropolitana_de_Porto_Alegre" TargetMode="External"/><Relationship Id="rId1278" Type="http://schemas.openxmlformats.org/officeDocument/2006/relationships/hyperlink" Target="https://pt.wikipedia.org/wiki/Senador_Salgado_Filho" TargetMode="External"/><Relationship Id="rId1485" Type="http://schemas.openxmlformats.org/officeDocument/2006/relationships/hyperlink" Target="https://pt.wikipedia.org/wiki/Vit%C3%B3ria_das_Miss%C3%B5es" TargetMode="External"/><Relationship Id="rId287" Type="http://schemas.openxmlformats.org/officeDocument/2006/relationships/hyperlink" Target="https://pt.wikipedia.org/wiki/Mesorregi%C3%A3o_do_Noroeste_Rio-Grandense" TargetMode="External"/><Relationship Id="rId410" Type="http://schemas.openxmlformats.org/officeDocument/2006/relationships/hyperlink" Target="https://pt.wikipedia.org/wiki/Dom_Pedro_de_Alc%C3%A2ntara" TargetMode="External"/><Relationship Id="rId494" Type="http://schemas.openxmlformats.org/officeDocument/2006/relationships/hyperlink" Target="https://pt.wikipedia.org/wiki/Fazenda_Vilanova" TargetMode="External"/><Relationship Id="rId508" Type="http://schemas.openxmlformats.org/officeDocument/2006/relationships/hyperlink" Target="https://pt.wikipedia.org/wiki/Mesorregi%C3%A3o_do_Noroeste_Rio-Grandense" TargetMode="External"/><Relationship Id="rId715" Type="http://schemas.openxmlformats.org/officeDocument/2006/relationships/hyperlink" Target="https://pt.wikipedia.org/wiki/Mesorregi%C3%A3o_do_Sudoeste_Rio-Grandense" TargetMode="External"/><Relationship Id="rId922" Type="http://schemas.openxmlformats.org/officeDocument/2006/relationships/hyperlink" Target="https://pt.wikipedia.org/wiki/Mesorregi%C3%A3o_do_Centro_Oriental_Rio-Grandense" TargetMode="External"/><Relationship Id="rId1138" Type="http://schemas.openxmlformats.org/officeDocument/2006/relationships/hyperlink" Target="https://pt.wikipedia.org/wiki/Microrregi%C3%A3o_de_Iju%C3%AD" TargetMode="External"/><Relationship Id="rId1345" Type="http://schemas.openxmlformats.org/officeDocument/2006/relationships/hyperlink" Target="https://pt.wikipedia.org/wiki/Microrregi%C3%A3o_de_Lajeado-Estrela" TargetMode="External"/><Relationship Id="rId147" Type="http://schemas.openxmlformats.org/officeDocument/2006/relationships/hyperlink" Target="https://pt.wikipedia.org/wiki/Bom_Jesus_(Rio_Grande_do_Sul)" TargetMode="External"/><Relationship Id="rId354" Type="http://schemas.openxmlformats.org/officeDocument/2006/relationships/hyperlink" Target="https://pt.wikipedia.org/wiki/Microrregi%C3%A3o_de_Iju%C3%AD" TargetMode="External"/><Relationship Id="rId799" Type="http://schemas.openxmlformats.org/officeDocument/2006/relationships/hyperlink" Target="https://pt.wikipedia.org/wiki/Mesorregi%C3%A3o_do_Nordeste_Rio-Grandense" TargetMode="External"/><Relationship Id="rId1191" Type="http://schemas.openxmlformats.org/officeDocument/2006/relationships/hyperlink" Target="https://pt.wikipedia.org/wiki/S%C3%A3o_Jos%C3%A9_do_Sul" TargetMode="External"/><Relationship Id="rId1205" Type="http://schemas.openxmlformats.org/officeDocument/2006/relationships/hyperlink" Target="https://pt.wikipedia.org/wiki/Mesorregi%C3%A3o_do_Noroeste_Rio-Grandense" TargetMode="External"/><Relationship Id="rId51" Type="http://schemas.openxmlformats.org/officeDocument/2006/relationships/hyperlink" Target="https://pt.wikipedia.org/wiki/Ant%C3%B4nio_Prado" TargetMode="External"/><Relationship Id="rId561" Type="http://schemas.openxmlformats.org/officeDocument/2006/relationships/hyperlink" Target="https://pt.wikipedia.org/wiki/Microrregi%C3%A3o_de_Porto_Alegre" TargetMode="External"/><Relationship Id="rId659" Type="http://schemas.openxmlformats.org/officeDocument/2006/relationships/hyperlink" Target="https://pt.wikipedia.org/wiki/Jacuizinho" TargetMode="External"/><Relationship Id="rId866" Type="http://schemas.openxmlformats.org/officeDocument/2006/relationships/hyperlink" Target="https://pt.wikipedia.org/wiki/Novo_Machado" TargetMode="External"/><Relationship Id="rId1289" Type="http://schemas.openxmlformats.org/officeDocument/2006/relationships/hyperlink" Target="https://pt.wikipedia.org/wiki/Mesorregi%C3%A3o_do_Centro_Oriental_Rio-Grandense" TargetMode="External"/><Relationship Id="rId1412" Type="http://schemas.openxmlformats.org/officeDocument/2006/relationships/hyperlink" Target="https://pt.wikipedia.org/wiki/Mesorregi%C3%A3o_do_Sudeste_Rio-Grandense" TargetMode="External"/><Relationship Id="rId214" Type="http://schemas.openxmlformats.org/officeDocument/2006/relationships/hyperlink" Target="https://pt.wikipedia.org/wiki/Microrregi%C3%A3o_de_Erechim" TargetMode="External"/><Relationship Id="rId298" Type="http://schemas.openxmlformats.org/officeDocument/2006/relationships/hyperlink" Target="https://pt.wikipedia.org/wiki/Microrregi%C3%A3o_de_Cachoeira_do_Sul" TargetMode="External"/><Relationship Id="rId421" Type="http://schemas.openxmlformats.org/officeDocument/2006/relationships/hyperlink" Target="https://pt.wikipedia.org/wiki/Mesorregi%C3%A3o_do_Centro_Oriental_Rio-Grandense" TargetMode="External"/><Relationship Id="rId519" Type="http://schemas.openxmlformats.org/officeDocument/2006/relationships/hyperlink" Target="https://pt.wikipedia.org/wiki/Microrregi%C3%A3o_de_Frederico_Westphalen" TargetMode="External"/><Relationship Id="rId1051" Type="http://schemas.openxmlformats.org/officeDocument/2006/relationships/hyperlink" Target="https://pt.wikipedia.org/wiki/Microrregi%C3%A3o_de_Gramado-Canela" TargetMode="External"/><Relationship Id="rId1149" Type="http://schemas.openxmlformats.org/officeDocument/2006/relationships/hyperlink" Target="https://pt.wikipedia.org/wiki/S%C3%A3o_Domingos_do_Sul" TargetMode="External"/><Relationship Id="rId1356" Type="http://schemas.openxmlformats.org/officeDocument/2006/relationships/hyperlink" Target="https://pt.wikipedia.org/wiki/Torres_(Rio_Grande_do_Sul)" TargetMode="External"/><Relationship Id="rId158" Type="http://schemas.openxmlformats.org/officeDocument/2006/relationships/hyperlink" Target="https://pt.wikipedia.org/wiki/Mesorregi%C3%A3o_do_Centro_Oriental_Rio-Grandense" TargetMode="External"/><Relationship Id="rId726" Type="http://schemas.openxmlformats.org/officeDocument/2006/relationships/hyperlink" Target="https://pt.wikipedia.org/wiki/Microrregi%C3%A3o_de_Os%C3%B3rio" TargetMode="External"/><Relationship Id="rId933" Type="http://schemas.openxmlformats.org/officeDocument/2006/relationships/hyperlink" Target="https://pt.wikipedia.org/wiki/Microrregi%C3%A3o_de_Pelotas" TargetMode="External"/><Relationship Id="rId1009" Type="http://schemas.openxmlformats.org/officeDocument/2006/relationships/hyperlink" Target="https://pt.wikipedia.org/wiki/Microrregi%C3%A3o_da_Campanha_Ocidental" TargetMode="External"/><Relationship Id="rId62" Type="http://schemas.openxmlformats.org/officeDocument/2006/relationships/hyperlink" Target="https://pt.wikipedia.org/wiki/Mesorregi%C3%A3o_do_Noroeste_Rio-Grandense" TargetMode="External"/><Relationship Id="rId365" Type="http://schemas.openxmlformats.org/officeDocument/2006/relationships/hyperlink" Target="https://pt.wikipedia.org/wiki/Crissiumal" TargetMode="External"/><Relationship Id="rId572" Type="http://schemas.openxmlformats.org/officeDocument/2006/relationships/hyperlink" Target="https://pt.wikipedia.org/wiki/Herval" TargetMode="External"/><Relationship Id="rId1216" Type="http://schemas.openxmlformats.org/officeDocument/2006/relationships/hyperlink" Target="https://pt.wikipedia.org/wiki/Microrregi%C3%A3o_de_Santo_%C3%82ngelo" TargetMode="External"/><Relationship Id="rId1423" Type="http://schemas.openxmlformats.org/officeDocument/2006/relationships/hyperlink" Target="https://pt.wikipedia.org/wiki/Microrregi%C3%A3o_da_Campanha_Ocidental" TargetMode="External"/><Relationship Id="rId225" Type="http://schemas.openxmlformats.org/officeDocument/2006/relationships/hyperlink" Target="https://pt.wikipedia.org/wiki/Candel%C3%A1ria_(Rio_Grande_do_Sul)" TargetMode="External"/><Relationship Id="rId432" Type="http://schemas.openxmlformats.org/officeDocument/2006/relationships/hyperlink" Target="https://pt.wikipedia.org/wiki/Microrregi%C3%A3o_de_Frederico_Westphalen" TargetMode="External"/><Relationship Id="rId877" Type="http://schemas.openxmlformats.org/officeDocument/2006/relationships/hyperlink" Target="https://pt.wikipedia.org/wiki/Mesorregi%C3%A3o_Metropolitana_de_Porto_Alegre" TargetMode="External"/><Relationship Id="rId1062" Type="http://schemas.openxmlformats.org/officeDocument/2006/relationships/hyperlink" Target="https://pt.wikipedia.org/wiki/Ros%C3%A1rio_do_Sul" TargetMode="External"/><Relationship Id="rId737" Type="http://schemas.openxmlformats.org/officeDocument/2006/relationships/hyperlink" Target="https://pt.wikipedia.org/wiki/Mariana_Pimentel" TargetMode="External"/><Relationship Id="rId944" Type="http://schemas.openxmlformats.org/officeDocument/2006/relationships/hyperlink" Target="https://pt.wikipedia.org/wiki/Pinhal_Grande" TargetMode="External"/><Relationship Id="rId1367" Type="http://schemas.openxmlformats.org/officeDocument/2006/relationships/hyperlink" Target="https://pt.wikipedia.org/wiki/Mesorregi%C3%A3o_do_Noroeste_Rio-Grandense" TargetMode="External"/><Relationship Id="rId73" Type="http://schemas.openxmlformats.org/officeDocument/2006/relationships/hyperlink" Target="https://pt.wikipedia.org/wiki/Microrregi%C3%A3o_de_Santa_Cruz_do_Sul" TargetMode="External"/><Relationship Id="rId169" Type="http://schemas.openxmlformats.org/officeDocument/2006/relationships/hyperlink" Target="https://pt.wikipedia.org/wiki/Microrregi%C3%A3o_de_Tr%C3%AAs_Passos" TargetMode="External"/><Relationship Id="rId376" Type="http://schemas.openxmlformats.org/officeDocument/2006/relationships/hyperlink" Target="https://pt.wikipedia.org/wiki/Mesorregi%C3%A3o_do_Noroeste_Rio-Grandense" TargetMode="External"/><Relationship Id="rId583" Type="http://schemas.openxmlformats.org/officeDocument/2006/relationships/hyperlink" Target="https://pt.wikipedia.org/wiki/Mesorregi%C3%A3o_do_Sudoeste_Rio-Grandense" TargetMode="External"/><Relationship Id="rId790" Type="http://schemas.openxmlformats.org/officeDocument/2006/relationships/hyperlink" Target="https://pt.wikipedia.org/wiki/Mesorregi%C3%A3o_Metropolitana_de_Porto_Alegre" TargetMode="External"/><Relationship Id="rId804" Type="http://schemas.openxmlformats.org/officeDocument/2006/relationships/hyperlink" Target="https://pt.wikipedia.org/wiki/Microrregi%C3%A3o_de_N%C3%A3o-Me-Toque" TargetMode="External"/><Relationship Id="rId1227" Type="http://schemas.openxmlformats.org/officeDocument/2006/relationships/hyperlink" Target="https://pt.wikipedia.org/wiki/S%C3%A3o_Pedro_das_Miss%C3%B5es" TargetMode="External"/><Relationship Id="rId1434" Type="http://schemas.openxmlformats.org/officeDocument/2006/relationships/hyperlink" Target="https://pt.wikipedia.org/wiki/Vale_Verde_(Rio_Grande_do_Sul)" TargetMode="External"/><Relationship Id="rId4" Type="http://schemas.openxmlformats.org/officeDocument/2006/relationships/hyperlink" Target="https://pt.wikipedia.org/wiki/Microrregi%C3%A3o_da_Campanha_Meridional" TargetMode="External"/><Relationship Id="rId236" Type="http://schemas.openxmlformats.org/officeDocument/2006/relationships/hyperlink" Target="https://pt.wikipedia.org/wiki/Mesorregi%C3%A3o_Metropolitana_de_Porto_Alegre" TargetMode="External"/><Relationship Id="rId443" Type="http://schemas.openxmlformats.org/officeDocument/2006/relationships/hyperlink" Target="https://pt.wikipedia.org/wiki/Erechim" TargetMode="External"/><Relationship Id="rId650" Type="http://schemas.openxmlformats.org/officeDocument/2006/relationships/hyperlink" Target="https://pt.wikipedia.org/wiki/Ivor%C3%A1" TargetMode="External"/><Relationship Id="rId888" Type="http://schemas.openxmlformats.org/officeDocument/2006/relationships/hyperlink" Target="https://pt.wikipedia.org/wiki/Microrregi%C3%A3o_de_Frederico_Westphalen" TargetMode="External"/><Relationship Id="rId1073" Type="http://schemas.openxmlformats.org/officeDocument/2006/relationships/hyperlink" Target="https://pt.wikipedia.org/wiki/Mesorregi%C3%A3o_do_Noroeste_Rio-Grandense" TargetMode="External"/><Relationship Id="rId1280" Type="http://schemas.openxmlformats.org/officeDocument/2006/relationships/hyperlink" Target="https://pt.wikipedia.org/wiki/Mesorregi%C3%A3o_do_Noroeste_Rio-Grandense" TargetMode="External"/><Relationship Id="rId303" Type="http://schemas.openxmlformats.org/officeDocument/2006/relationships/hyperlink" Target="https://pt.wikipedia.org/wiki/Cerro_Grande_do_Sul" TargetMode="External"/><Relationship Id="rId748" Type="http://schemas.openxmlformats.org/officeDocument/2006/relationships/hyperlink" Target="https://pt.wikipedia.org/wiki/Mesorregi%C3%A3o_do_Centro_Ocidental_Rio-Grandense" TargetMode="External"/><Relationship Id="rId955" Type="http://schemas.openxmlformats.org/officeDocument/2006/relationships/hyperlink" Target="https://pt.wikipedia.org/wiki/Microrregi%C3%A3o_de_Caxias_do_Sul" TargetMode="External"/><Relationship Id="rId1140" Type="http://schemas.openxmlformats.org/officeDocument/2006/relationships/hyperlink" Target="https://pt.wikipedia.org/wiki/Santo_Cristo" TargetMode="External"/><Relationship Id="rId1378" Type="http://schemas.openxmlformats.org/officeDocument/2006/relationships/hyperlink" Target="https://pt.wikipedia.org/wiki/Microrregi%C3%A3o_de_Os%C3%B3rio" TargetMode="External"/><Relationship Id="rId84" Type="http://schemas.openxmlformats.org/officeDocument/2006/relationships/hyperlink" Target="https://pt.wikipedia.org/wiki/Augusto_Pestana_(Rio_Grande_do_Sul)" TargetMode="External"/><Relationship Id="rId387" Type="http://schemas.openxmlformats.org/officeDocument/2006/relationships/hyperlink" Target="https://pt.wikipedia.org/wiki/Microrregi%C3%A3o_de_Tr%C3%AAs_Passos" TargetMode="External"/><Relationship Id="rId510" Type="http://schemas.openxmlformats.org/officeDocument/2006/relationships/hyperlink" Target="https://pt.wikipedia.org/wiki/Microrregi%C3%A3o_de_Restinga_Seca" TargetMode="External"/><Relationship Id="rId594" Type="http://schemas.openxmlformats.org/officeDocument/2006/relationships/hyperlink" Target="https://pt.wikipedia.org/wiki/Microrregi%C3%A3o_de_Passo_Fundo" TargetMode="External"/><Relationship Id="rId608" Type="http://schemas.openxmlformats.org/officeDocument/2006/relationships/hyperlink" Target="https://pt.wikipedia.org/wiki/Il%C3%B3polis" TargetMode="External"/><Relationship Id="rId815" Type="http://schemas.openxmlformats.org/officeDocument/2006/relationships/hyperlink" Target="https://pt.wikipedia.org/wiki/Nova_Ara%C3%A7%C3%A1" TargetMode="External"/><Relationship Id="rId1238" Type="http://schemas.openxmlformats.org/officeDocument/2006/relationships/hyperlink" Target="https://pt.wikipedia.org/wiki/Mesorregi%C3%A3o_Metropolitana_de_Porto_Alegre" TargetMode="External"/><Relationship Id="rId1445" Type="http://schemas.openxmlformats.org/officeDocument/2006/relationships/hyperlink" Target="https://pt.wikipedia.org/wiki/Mesorregi%C3%A3o_do_Centro_Oriental_Rio-Grandense" TargetMode="External"/><Relationship Id="rId247" Type="http://schemas.openxmlformats.org/officeDocument/2006/relationships/hyperlink" Target="https://pt.wikipedia.org/wiki/Microrregi%C3%A3o_de_Vacaria" TargetMode="External"/><Relationship Id="rId899" Type="http://schemas.openxmlformats.org/officeDocument/2006/relationships/hyperlink" Target="https://pt.wikipedia.org/wiki/Para%C3%ADso_do_Sul" TargetMode="External"/><Relationship Id="rId1000" Type="http://schemas.openxmlformats.org/officeDocument/2006/relationships/hyperlink" Target="https://pt.wikipedia.org/wiki/Microrregi%C3%A3o_de_Lajeado-Estrela" TargetMode="External"/><Relationship Id="rId1084" Type="http://schemas.openxmlformats.org/officeDocument/2006/relationships/hyperlink" Target="https://pt.wikipedia.org/wiki/Microrregi%C3%A3o_de_Cruz_Alta" TargetMode="External"/><Relationship Id="rId1305" Type="http://schemas.openxmlformats.org/officeDocument/2006/relationships/hyperlink" Target="https://pt.wikipedia.org/wiki/Sinimbu" TargetMode="External"/><Relationship Id="rId107" Type="http://schemas.openxmlformats.org/officeDocument/2006/relationships/hyperlink" Target="https://pt.wikipedia.org/wiki/Mesorregi%C3%A3o_do_Noroeste_Rio-Grandense" TargetMode="External"/><Relationship Id="rId454" Type="http://schemas.openxmlformats.org/officeDocument/2006/relationships/hyperlink" Target="https://pt.wikipedia.org/wiki/Mesorregi%C3%A3o_do_Noroeste_Rio-Grandense" TargetMode="External"/><Relationship Id="rId661" Type="http://schemas.openxmlformats.org/officeDocument/2006/relationships/hyperlink" Target="https://pt.wikipedia.org/wiki/Mesorregi%C3%A3o_do_Noroeste_Rio-Grandense" TargetMode="External"/><Relationship Id="rId759" Type="http://schemas.openxmlformats.org/officeDocument/2006/relationships/hyperlink" Target="https://pt.wikipedia.org/wiki/Microrregi%C3%A3o_de_Sananduva" TargetMode="External"/><Relationship Id="rId966" Type="http://schemas.openxmlformats.org/officeDocument/2006/relationships/hyperlink" Target="https://pt.wikipedia.org/wiki/Po%C3%A7o_das_Antas" TargetMode="External"/><Relationship Id="rId1291" Type="http://schemas.openxmlformats.org/officeDocument/2006/relationships/hyperlink" Target="https://pt.wikipedia.org/wiki/Microrregi%C3%A3o_de_Passo_Fundo" TargetMode="External"/><Relationship Id="rId1389" Type="http://schemas.openxmlformats.org/officeDocument/2006/relationships/hyperlink" Target="https://pt.wikipedia.org/wiki/Triunfo_(Rio_Grande_do_Sul)" TargetMode="External"/><Relationship Id="rId11" Type="http://schemas.openxmlformats.org/officeDocument/2006/relationships/hyperlink" Target="https://pt.wikipedia.org/wiki/Mesorregi%C3%A3o_do_Centro_Ocidental_Rio-Grandense" TargetMode="External"/><Relationship Id="rId314" Type="http://schemas.openxmlformats.org/officeDocument/2006/relationships/hyperlink" Target="https://pt.wikipedia.org/wiki/Mesorregi%C3%A3o_Metropolitana_de_Porto_Alegre" TargetMode="External"/><Relationship Id="rId398" Type="http://schemas.openxmlformats.org/officeDocument/2006/relationships/hyperlink" Target="https://pt.wikipedia.org/wiki/Dois_Irm%C3%A3os_das_Miss%C3%B5es" TargetMode="External"/><Relationship Id="rId521" Type="http://schemas.openxmlformats.org/officeDocument/2006/relationships/hyperlink" Target="https://pt.wikipedia.org/wiki/Garibaldi" TargetMode="External"/><Relationship Id="rId619" Type="http://schemas.openxmlformats.org/officeDocument/2006/relationships/hyperlink" Target="https://pt.wikipedia.org/wiki/Mesorregi%C3%A3o_do_Noroeste_Rio-Grandense" TargetMode="External"/><Relationship Id="rId1151" Type="http://schemas.openxmlformats.org/officeDocument/2006/relationships/hyperlink" Target="https://pt.wikipedia.org/wiki/Mesorregi%C3%A3o_do_Noroeste_Rio-Grandense" TargetMode="External"/><Relationship Id="rId1249" Type="http://schemas.openxmlformats.org/officeDocument/2006/relationships/hyperlink" Target="https://pt.wikipedia.org/wiki/Microrregi%C3%A3o_de_Iju%C3%AD" TargetMode="External"/><Relationship Id="rId95" Type="http://schemas.openxmlformats.org/officeDocument/2006/relationships/hyperlink" Target="https://pt.wikipedia.org/wiki/Mesorregi%C3%A3o_Metropolitana_de_Porto_Alegre" TargetMode="External"/><Relationship Id="rId160" Type="http://schemas.openxmlformats.org/officeDocument/2006/relationships/hyperlink" Target="https://pt.wikipedia.org/wiki/Microrregi%C3%A3o_de_Lajeado-Estrela" TargetMode="External"/><Relationship Id="rId826" Type="http://schemas.openxmlformats.org/officeDocument/2006/relationships/hyperlink" Target="https://pt.wikipedia.org/wiki/Mesorregi%C3%A3o_do_Centro_Oriental_Rio-Grandense" TargetMode="External"/><Relationship Id="rId1011" Type="http://schemas.openxmlformats.org/officeDocument/2006/relationships/hyperlink" Target="https://pt.wikipedia.org/wiki/Quatro_Irm%C3%A3os" TargetMode="External"/><Relationship Id="rId1109" Type="http://schemas.openxmlformats.org/officeDocument/2006/relationships/hyperlink" Target="https://pt.wikipedia.org/wiki/Mesorregi%C3%A3o_do_Nordeste_Rio-Grandense" TargetMode="External"/><Relationship Id="rId1456" Type="http://schemas.openxmlformats.org/officeDocument/2006/relationships/hyperlink" Target="https://pt.wikipedia.org/wiki/Microrregi%C3%A3o_de_Porto_Alegre" TargetMode="External"/><Relationship Id="rId258" Type="http://schemas.openxmlformats.org/officeDocument/2006/relationships/hyperlink" Target="https://pt.wikipedia.org/wiki/Capela_de_Santana" TargetMode="External"/><Relationship Id="rId465" Type="http://schemas.openxmlformats.org/officeDocument/2006/relationships/hyperlink" Target="https://pt.wikipedia.org/wiki/Microrregi%C3%A3o_de_Erechim" TargetMode="External"/><Relationship Id="rId672" Type="http://schemas.openxmlformats.org/officeDocument/2006/relationships/hyperlink" Target="https://pt.wikipedia.org/wiki/Microrregi%C3%A3o_de_Vacaria" TargetMode="External"/><Relationship Id="rId1095" Type="http://schemas.openxmlformats.org/officeDocument/2006/relationships/hyperlink" Target="https://pt.wikipedia.org/wiki/Santa_Margarida_do_Sul" TargetMode="External"/><Relationship Id="rId1316" Type="http://schemas.openxmlformats.org/officeDocument/2006/relationships/hyperlink" Target="https://pt.wikipedia.org/wiki/Mesorregi%C3%A3o_do_Centro_Oriental_Rio-Grandense" TargetMode="External"/><Relationship Id="rId22" Type="http://schemas.openxmlformats.org/officeDocument/2006/relationships/hyperlink" Target="https://pt.wikipedia.org/wiki/Microrregi%C3%A3o_de_Iju%C3%AD" TargetMode="External"/><Relationship Id="rId118" Type="http://schemas.openxmlformats.org/officeDocument/2006/relationships/hyperlink" Target="https://pt.wikipedia.org/wiki/Microrregi%C3%A3o_de_Carazinho" TargetMode="External"/><Relationship Id="rId325" Type="http://schemas.openxmlformats.org/officeDocument/2006/relationships/hyperlink" Target="https://pt.wikipedia.org/wiki/Microrregi%C3%A3o_de_Camaqu%C3%A3" TargetMode="External"/><Relationship Id="rId532" Type="http://schemas.openxmlformats.org/officeDocument/2006/relationships/hyperlink" Target="https://pt.wikipedia.org/wiki/Mesorregi%C3%A3o_Metropolitana_de_Porto_Alegre" TargetMode="External"/><Relationship Id="rId977" Type="http://schemas.openxmlformats.org/officeDocument/2006/relationships/hyperlink" Target="https://pt.wikipedia.org/wiki/Mesorregi%C3%A3o_Metropolitana_de_Porto_Alegre" TargetMode="External"/><Relationship Id="rId1162" Type="http://schemas.openxmlformats.org/officeDocument/2006/relationships/hyperlink" Target="https://pt.wikipedia.org/wiki/Microrregi%C3%A3o_de_S%C3%A3o_Jer%C3%B4nimo" TargetMode="External"/><Relationship Id="rId171" Type="http://schemas.openxmlformats.org/officeDocument/2006/relationships/hyperlink" Target="https://pt.wikipedia.org/wiki/Brochier" TargetMode="External"/><Relationship Id="rId837" Type="http://schemas.openxmlformats.org/officeDocument/2006/relationships/hyperlink" Target="https://pt.wikipedia.org/wiki/Microrregi%C3%A3o_de_Caxias_do_Sul" TargetMode="External"/><Relationship Id="rId1022" Type="http://schemas.openxmlformats.org/officeDocument/2006/relationships/hyperlink" Target="https://pt.wikipedia.org/wiki/Mesorregi%C3%A3o_do_Noroeste_Rio-Grandense" TargetMode="External"/><Relationship Id="rId1467" Type="http://schemas.openxmlformats.org/officeDocument/2006/relationships/hyperlink" Target="https://pt.wikipedia.org/wiki/Vila_L%C3%A2ngaro" TargetMode="External"/><Relationship Id="rId269" Type="http://schemas.openxmlformats.org/officeDocument/2006/relationships/hyperlink" Target="https://pt.wikipedia.org/wiki/Mesorregi%C3%A3o_Metropolitana_de_Porto_Alegre" TargetMode="External"/><Relationship Id="rId476" Type="http://schemas.openxmlformats.org/officeDocument/2006/relationships/hyperlink" Target="https://pt.wikipedia.org/wiki/Estrela_Velha" TargetMode="External"/><Relationship Id="rId683" Type="http://schemas.openxmlformats.org/officeDocument/2006/relationships/hyperlink" Target="https://pt.wikipedia.org/wiki/Lagoa_Bonita_do_Sul" TargetMode="External"/><Relationship Id="rId890" Type="http://schemas.openxmlformats.org/officeDocument/2006/relationships/hyperlink" Target="https://pt.wikipedia.org/wiki/Panambi" TargetMode="External"/><Relationship Id="rId904" Type="http://schemas.openxmlformats.org/officeDocument/2006/relationships/hyperlink" Target="https://pt.wikipedia.org/wiki/Mesorregi%C3%A3o_Metropolitana_de_Porto_Alegre" TargetMode="External"/><Relationship Id="rId1327" Type="http://schemas.openxmlformats.org/officeDocument/2006/relationships/hyperlink" Target="https://pt.wikipedia.org/wiki/Microrregi%C3%A3o_de_Gramado-Canela" TargetMode="External"/><Relationship Id="rId33" Type="http://schemas.openxmlformats.org/officeDocument/2006/relationships/hyperlink" Target="https://pt.wikipedia.org/wiki/Alto_Feliz" TargetMode="External"/><Relationship Id="rId129" Type="http://schemas.openxmlformats.org/officeDocument/2006/relationships/hyperlink" Target="https://pt.wikipedia.org/wiki/Bento_Gon%C3%A7alves_(Rio_Grande_do_Sul)" TargetMode="External"/><Relationship Id="rId336" Type="http://schemas.openxmlformats.org/officeDocument/2006/relationships/hyperlink" Target="https://pt.wikipedia.org/wiki/Microrregi%C3%A3o_de_N%C3%A3o-Me-Toque" TargetMode="External"/><Relationship Id="rId543" Type="http://schemas.openxmlformats.org/officeDocument/2006/relationships/hyperlink" Target="https://pt.wikipedia.org/wiki/Microrregi%C3%A3o_de_Porto_Alegre" TargetMode="External"/><Relationship Id="rId988" Type="http://schemas.openxmlformats.org/officeDocument/2006/relationships/hyperlink" Target="https://pt.wikipedia.org/wiki/Microrregi%C3%A3o_de_Santa_Rosa" TargetMode="External"/><Relationship Id="rId1173" Type="http://schemas.openxmlformats.org/officeDocument/2006/relationships/hyperlink" Target="https://pt.wikipedia.org/wiki/S%C3%A3o_Jos%C3%A9_das_Miss%C3%B5es" TargetMode="External"/><Relationship Id="rId1380" Type="http://schemas.openxmlformats.org/officeDocument/2006/relationships/hyperlink" Target="https://pt.wikipedia.org/wiki/Tr%C3%AAs_Palmeiras" TargetMode="External"/><Relationship Id="rId182" Type="http://schemas.openxmlformats.org/officeDocument/2006/relationships/hyperlink" Target="https://pt.wikipedia.org/wiki/Mesorregi%C3%A3o_do_Centro_Ocidental_Rio-Grandense" TargetMode="External"/><Relationship Id="rId403" Type="http://schemas.openxmlformats.org/officeDocument/2006/relationships/hyperlink" Target="https://pt.wikipedia.org/wiki/Mesorregi%C3%A3o_do_Nordeste_Rio-Grandense" TargetMode="External"/><Relationship Id="rId750" Type="http://schemas.openxmlformats.org/officeDocument/2006/relationships/hyperlink" Target="https://pt.wikipedia.org/wiki/Microrregi%C3%A3o_de_Passo_Fundo" TargetMode="External"/><Relationship Id="rId848" Type="http://schemas.openxmlformats.org/officeDocument/2006/relationships/hyperlink" Target="https://pt.wikipedia.org/wiki/Nova_Ramada" TargetMode="External"/><Relationship Id="rId1033" Type="http://schemas.openxmlformats.org/officeDocument/2006/relationships/hyperlink" Target="https://pt.wikipedia.org/wiki/Microrregi%C3%A3o_do_Litoral_Lagunar" TargetMode="External"/><Relationship Id="rId1478" Type="http://schemas.openxmlformats.org/officeDocument/2006/relationships/hyperlink" Target="https://pt.wikipedia.org/wiki/Mesorregi%C3%A3o_do_Noroeste_Rio-Grandense" TargetMode="External"/><Relationship Id="rId487" Type="http://schemas.openxmlformats.org/officeDocument/2006/relationships/hyperlink" Target="https://pt.wikipedia.org/wiki/Mesorregi%C3%A3o_do_Nordeste_Rio-Grandense" TargetMode="External"/><Relationship Id="rId610" Type="http://schemas.openxmlformats.org/officeDocument/2006/relationships/hyperlink" Target="https://pt.wikipedia.org/wiki/Mesorregi%C3%A3o_do_Nordeste_Rio-Grandense" TargetMode="External"/><Relationship Id="rId694" Type="http://schemas.openxmlformats.org/officeDocument/2006/relationships/hyperlink" Target="https://pt.wikipedia.org/wiki/Mesorregi%C3%A3o_do_Noroeste_Rio-Grandense" TargetMode="External"/><Relationship Id="rId708" Type="http://schemas.openxmlformats.org/officeDocument/2006/relationships/hyperlink" Target="https://pt.wikipedia.org/wiki/Microrregi%C3%A3o_de_Gramado-Canela" TargetMode="External"/><Relationship Id="rId915" Type="http://schemas.openxmlformats.org/officeDocument/2006/relationships/hyperlink" Target="https://pt.wikipedia.org/wiki/Microrregi%C3%A3o_de_Passo_Fundo" TargetMode="External"/><Relationship Id="rId1240" Type="http://schemas.openxmlformats.org/officeDocument/2006/relationships/hyperlink" Target="https://pt.wikipedia.org/wiki/Microrregi%C3%A3o_de_Santa_Maria" TargetMode="External"/><Relationship Id="rId1338" Type="http://schemas.openxmlformats.org/officeDocument/2006/relationships/hyperlink" Target="https://pt.wikipedia.org/wiki/Tenente_Portela" TargetMode="External"/><Relationship Id="rId347" Type="http://schemas.openxmlformats.org/officeDocument/2006/relationships/hyperlink" Target="https://pt.wikipedia.org/wiki/Coqueiros_do_Sul" TargetMode="External"/><Relationship Id="rId999" Type="http://schemas.openxmlformats.org/officeDocument/2006/relationships/hyperlink" Target="https://pt.wikipedia.org/wiki/Progresso_(Rio_Grande_do_Sul)" TargetMode="External"/><Relationship Id="rId1100" Type="http://schemas.openxmlformats.org/officeDocument/2006/relationships/hyperlink" Target="https://pt.wikipedia.org/w/index.php?title=Centro_Ocidental&amp;action=edit&amp;redlink=1" TargetMode="External"/><Relationship Id="rId1184" Type="http://schemas.openxmlformats.org/officeDocument/2006/relationships/hyperlink" Target="https://pt.wikipedia.org/wiki/Mesorregi%C3%A3o_do_Noroeste_Rio-Grandense" TargetMode="External"/><Relationship Id="rId1405" Type="http://schemas.openxmlformats.org/officeDocument/2006/relationships/hyperlink" Target="https://pt.wikipedia.org/wiki/Microrregi%C3%A3o_de_Montenegro" TargetMode="External"/><Relationship Id="rId44" Type="http://schemas.openxmlformats.org/officeDocument/2006/relationships/hyperlink" Target="https://pt.wikipedia.org/wiki/Mesorregi%C3%A3o_do_Noroeste_Rio-Grandense" TargetMode="External"/><Relationship Id="rId554" Type="http://schemas.openxmlformats.org/officeDocument/2006/relationships/hyperlink" Target="https://pt.wikipedia.org/wiki/Gravata%C3%AD_(distrito)" TargetMode="External"/><Relationship Id="rId761" Type="http://schemas.openxmlformats.org/officeDocument/2006/relationships/hyperlink" Target="https://pt.wikipedia.org/wiki/Minas_do_Le%C3%A3o" TargetMode="External"/><Relationship Id="rId859" Type="http://schemas.openxmlformats.org/officeDocument/2006/relationships/hyperlink" Target="https://pt.wikipedia.org/wiki/Mesorregi%C3%A3o_do_Noroeste_Rio-Grandense" TargetMode="External"/><Relationship Id="rId1391" Type="http://schemas.openxmlformats.org/officeDocument/2006/relationships/hyperlink" Target="https://pt.wikipedia.org/wiki/Mesorregi%C3%A3o_Metropolitana_de_Porto_Alegre" TargetMode="External"/><Relationship Id="rId1489" Type="http://schemas.openxmlformats.org/officeDocument/2006/relationships/hyperlink" Target="https://pt.wikipedia.org/wiki/Microrregi%C3%A3o_de_Lajeado-Estrela" TargetMode="External"/><Relationship Id="rId193" Type="http://schemas.openxmlformats.org/officeDocument/2006/relationships/hyperlink" Target="https://pt.wikipedia.org/wiki/Microrregi%C3%A3o_de_Cerro_Largo" TargetMode="External"/><Relationship Id="rId207" Type="http://schemas.openxmlformats.org/officeDocument/2006/relationships/hyperlink" Target="https://pt.wikipedia.org/wiki/Campestre_da_Serra" TargetMode="External"/><Relationship Id="rId414" Type="http://schemas.openxmlformats.org/officeDocument/2006/relationships/hyperlink" Target="https://pt.wikipedia.org/wiki/Microrregi%C3%A3o_de_Restinga_Seca" TargetMode="External"/><Relationship Id="rId498" Type="http://schemas.openxmlformats.org/officeDocument/2006/relationships/hyperlink" Target="https://pt.wikipedia.org/wiki/Microrregi%C3%A3o_de_Montenegro" TargetMode="External"/><Relationship Id="rId621" Type="http://schemas.openxmlformats.org/officeDocument/2006/relationships/hyperlink" Target="https://pt.wikipedia.org/wiki/Microrregi%C3%A3o_de_Iju%C3%AD" TargetMode="External"/><Relationship Id="rId1044" Type="http://schemas.openxmlformats.org/officeDocument/2006/relationships/hyperlink" Target="https://pt.wikipedia.org/wiki/Rodeio_Bonito" TargetMode="External"/><Relationship Id="rId1251" Type="http://schemas.openxmlformats.org/officeDocument/2006/relationships/hyperlink" Target="https://pt.wikipedia.org/wiki/S%C3%A3o_Vendelino" TargetMode="External"/><Relationship Id="rId1349" Type="http://schemas.openxmlformats.org/officeDocument/2006/relationships/hyperlink" Target="https://pt.wikipedia.org/wiki/Mesorregi%C3%A3o_do_Noroeste_Rio-Grandense" TargetMode="External"/><Relationship Id="rId260" Type="http://schemas.openxmlformats.org/officeDocument/2006/relationships/hyperlink" Target="https://pt.wikipedia.org/wiki/Mesorregi%C3%A3o_Metropolitana_de_Porto_Alegre" TargetMode="External"/><Relationship Id="rId719" Type="http://schemas.openxmlformats.org/officeDocument/2006/relationships/hyperlink" Target="https://pt.wikipedia.org/wiki/Mampituba" TargetMode="External"/><Relationship Id="rId926" Type="http://schemas.openxmlformats.org/officeDocument/2006/relationships/hyperlink" Target="https://pt.wikipedia.org/wiki/Pedro_Os%C3%B3rio" TargetMode="External"/><Relationship Id="rId1111" Type="http://schemas.openxmlformats.org/officeDocument/2006/relationships/hyperlink" Target="https://pt.wikipedia.org/wiki/Microrregi%C3%A3o_do_Litoral_Lagunar" TargetMode="External"/><Relationship Id="rId55" Type="http://schemas.openxmlformats.org/officeDocument/2006/relationships/hyperlink" Target="https://pt.wikipedia.org/wiki/Microrregi%C3%A3o_de_Camaqu%C3%A3" TargetMode="External"/><Relationship Id="rId120" Type="http://schemas.openxmlformats.org/officeDocument/2006/relationships/hyperlink" Target="https://pt.wikipedia.org/wiki/Barrac%C3%A3o_(Rio_Grande_do_Sul)" TargetMode="External"/><Relationship Id="rId358" Type="http://schemas.openxmlformats.org/officeDocument/2006/relationships/hyperlink" Target="https://pt.wikipedia.org/wiki/Mesorregi%C3%A3o_do_Nordeste_Rio-Grandense" TargetMode="External"/><Relationship Id="rId565" Type="http://schemas.openxmlformats.org/officeDocument/2006/relationships/hyperlink" Target="https://pt.wikipedia.org/wiki/Mesorregi%C3%A3o_do_Nordeste_Rio-Grandense" TargetMode="External"/><Relationship Id="rId772" Type="http://schemas.openxmlformats.org/officeDocument/2006/relationships/hyperlink" Target="https://pt.wikipedia.org/wiki/Mesorregi%C3%A3o_do_Nordeste_Rio-Grandense" TargetMode="External"/><Relationship Id="rId1195" Type="http://schemas.openxmlformats.org/officeDocument/2006/relationships/hyperlink" Target="https://pt.wikipedia.org/wiki/Microrregi%C3%A3o_de_Vacaria" TargetMode="External"/><Relationship Id="rId1209" Type="http://schemas.openxmlformats.org/officeDocument/2006/relationships/hyperlink" Target="https://pt.wikipedia.org/wiki/S%C3%A3o_Martinho_(Rio_Grande_do_Sul)" TargetMode="External"/><Relationship Id="rId1416" Type="http://schemas.openxmlformats.org/officeDocument/2006/relationships/hyperlink" Target="https://pt.wikipedia.org/wiki/Uni%C3%A3o_da_Serra" TargetMode="External"/><Relationship Id="rId218" Type="http://schemas.openxmlformats.org/officeDocument/2006/relationships/hyperlink" Target="https://pt.wikipedia.org/wiki/Mesorregi%C3%A3o_Metropolitana_de_Porto_Alegre" TargetMode="External"/><Relationship Id="rId425" Type="http://schemas.openxmlformats.org/officeDocument/2006/relationships/hyperlink" Target="https://pt.wikipedia.org/wiki/Encantado" TargetMode="External"/><Relationship Id="rId632" Type="http://schemas.openxmlformats.org/officeDocument/2006/relationships/hyperlink" Target="https://pt.wikipedia.org/wiki/Itaara" TargetMode="External"/><Relationship Id="rId1055" Type="http://schemas.openxmlformats.org/officeDocument/2006/relationships/hyperlink" Target="https://pt.wikipedia.org/wiki/Mesorregi%C3%A3o_do_Noroeste_Rio-Grandense" TargetMode="External"/><Relationship Id="rId1262" Type="http://schemas.openxmlformats.org/officeDocument/2006/relationships/hyperlink" Target="https://pt.wikipedia.org/wiki/Mesorregi%C3%A3o_Metropolitana_de_Porto_Alegre" TargetMode="External"/><Relationship Id="rId271" Type="http://schemas.openxmlformats.org/officeDocument/2006/relationships/hyperlink" Target="https://pt.wikipedia.org/wiki/Microrregi%C3%A3o_de_Carazinho" TargetMode="External"/><Relationship Id="rId937" Type="http://schemas.openxmlformats.org/officeDocument/2006/relationships/hyperlink" Target="https://pt.wikipedia.org/wiki/Mesorregi%C3%A3o_Metropolitana_de_Porto_Alegre" TargetMode="External"/><Relationship Id="rId1122" Type="http://schemas.openxmlformats.org/officeDocument/2006/relationships/hyperlink" Target="https://pt.wikipedia.org/wiki/Santo_%C3%82ngelo" TargetMode="External"/><Relationship Id="rId66" Type="http://schemas.openxmlformats.org/officeDocument/2006/relationships/hyperlink" Target="https://pt.wikipedia.org/wiki/Arroio_do_Padre" TargetMode="External"/><Relationship Id="rId131" Type="http://schemas.openxmlformats.org/officeDocument/2006/relationships/hyperlink" Target="https://pt.wikipedia.org/wiki/Mesorregi%C3%A3o_do_Nordeste_Rio-Grandense" TargetMode="External"/><Relationship Id="rId369" Type="http://schemas.openxmlformats.org/officeDocument/2006/relationships/hyperlink" Target="https://pt.wikipedia.org/wiki/Microrregi%C3%A3o_de_Pelotas" TargetMode="External"/><Relationship Id="rId576" Type="http://schemas.openxmlformats.org/officeDocument/2006/relationships/hyperlink" Target="https://pt.wikipedia.org/wiki/Microrregi%C3%A3o_de_Santa_Cruz_do_Sul" TargetMode="External"/><Relationship Id="rId783" Type="http://schemas.openxmlformats.org/officeDocument/2006/relationships/hyperlink" Target="https://pt.wikipedia.org/wiki/Microrregi%C3%A3o_de_Os%C3%B3rio" TargetMode="External"/><Relationship Id="rId990" Type="http://schemas.openxmlformats.org/officeDocument/2006/relationships/hyperlink" Target="https://pt.wikipedia.org/wiki/Porto_Xavier" TargetMode="External"/><Relationship Id="rId1427" Type="http://schemas.openxmlformats.org/officeDocument/2006/relationships/hyperlink" Target="https://pt.wikipedia.org/wiki/Mesorregi%C3%A3o_do_Nordeste_Rio-Grandense" TargetMode="External"/><Relationship Id="rId229" Type="http://schemas.openxmlformats.org/officeDocument/2006/relationships/hyperlink" Target="https://pt.wikipedia.org/wiki/Microrregi%C3%A3o_de_Santa_Rosa" TargetMode="External"/><Relationship Id="rId436" Type="http://schemas.openxmlformats.org/officeDocument/2006/relationships/hyperlink" Target="https://pt.wikipedia.org/wiki/Mesorregi%C3%A3o_do_Noroeste_Rio-Grandense" TargetMode="External"/><Relationship Id="rId643" Type="http://schemas.openxmlformats.org/officeDocument/2006/relationships/hyperlink" Target="https://pt.wikipedia.org/wiki/Mesorregi%C3%A3o_do_Sudoeste_Rio-Grandense" TargetMode="External"/><Relationship Id="rId1066" Type="http://schemas.openxmlformats.org/officeDocument/2006/relationships/hyperlink" Target="https://pt.wikipedia.org/wiki/Microrregi%C3%A3o_de_Carazinho" TargetMode="External"/><Relationship Id="rId1273" Type="http://schemas.openxmlformats.org/officeDocument/2006/relationships/hyperlink" Target="https://pt.wikipedia.org/wiki/Microrregi%C3%A3o_de_Santa_Cruz_do_Sul" TargetMode="External"/><Relationship Id="rId1480" Type="http://schemas.openxmlformats.org/officeDocument/2006/relationships/hyperlink" Target="https://pt.wikipedia.org/wiki/Microrregi%C3%A3o_de_Guapor%C3%A9" TargetMode="External"/><Relationship Id="rId850" Type="http://schemas.openxmlformats.org/officeDocument/2006/relationships/hyperlink" Target="https://pt.wikipedia.org/wiki/Mesorregi%C3%A3o_do_Noroeste_Rio-Grandense" TargetMode="External"/><Relationship Id="rId948" Type="http://schemas.openxmlformats.org/officeDocument/2006/relationships/hyperlink" Target="https://pt.wikipedia.org/wiki/Microrregi%C3%A3o_de_Frederico_Westphalen" TargetMode="External"/><Relationship Id="rId1133" Type="http://schemas.openxmlformats.org/officeDocument/2006/relationships/hyperlink" Target="https://pt.wikipedia.org/wiki/Mesorregi%C3%A3o_do_Noroeste_Rio-Grandense" TargetMode="External"/><Relationship Id="rId77" Type="http://schemas.openxmlformats.org/officeDocument/2006/relationships/hyperlink" Target="https://pt.wikipedia.org/wiki/Mesorregi%C3%A3o_Metropolitana_de_Porto_Alegre" TargetMode="External"/><Relationship Id="rId282" Type="http://schemas.openxmlformats.org/officeDocument/2006/relationships/hyperlink" Target="https://pt.wikipedia.org/wiki/Caseiros" TargetMode="External"/><Relationship Id="rId503" Type="http://schemas.openxmlformats.org/officeDocument/2006/relationships/hyperlink" Target="https://pt.wikipedia.org/wiki/Floriano_Peixoto_(Rio_Grande_do_Sul)" TargetMode="External"/><Relationship Id="rId587" Type="http://schemas.openxmlformats.org/officeDocument/2006/relationships/hyperlink" Target="https://pt.wikipedia.org/wiki/Ibarama" TargetMode="External"/><Relationship Id="rId710" Type="http://schemas.openxmlformats.org/officeDocument/2006/relationships/hyperlink" Target="https://pt.wikipedia.org/wiki/Linha_Nova" TargetMode="External"/><Relationship Id="rId808" Type="http://schemas.openxmlformats.org/officeDocument/2006/relationships/hyperlink" Target="https://pt.wikipedia.org/wiki/Mesorregi%C3%A3o_do_Noroeste_Rio-Grandense" TargetMode="External"/><Relationship Id="rId1340" Type="http://schemas.openxmlformats.org/officeDocument/2006/relationships/hyperlink" Target="https://pt.wikipedia.org/wiki/Mesorregi%C3%A3o_do_Noroeste_Rio-Grandense" TargetMode="External"/><Relationship Id="rId1438" Type="http://schemas.openxmlformats.org/officeDocument/2006/relationships/hyperlink" Target="https://pt.wikipedia.org/wiki/Microrregi%C3%A3o_de_Passo_Fundo" TargetMode="External"/><Relationship Id="rId8" Type="http://schemas.openxmlformats.org/officeDocument/2006/relationships/hyperlink" Target="https://pt.wikipedia.org/wiki/Mesorregi%C3%A3o_do_Noroeste_Rio-Grandense" TargetMode="External"/><Relationship Id="rId142" Type="http://schemas.openxmlformats.org/officeDocument/2006/relationships/hyperlink" Target="https://pt.wikipedia.org/wiki/Microrregi%C3%A3o_de_Cruz_Alta" TargetMode="External"/><Relationship Id="rId447" Type="http://schemas.openxmlformats.org/officeDocument/2006/relationships/hyperlink" Target="https://pt.wikipedia.org/wiki/Microrregi%C3%A3o_de_Passo_Fundo" TargetMode="External"/><Relationship Id="rId794" Type="http://schemas.openxmlformats.org/officeDocument/2006/relationships/hyperlink" Target="https://pt.wikipedia.org/wiki/Mu%C3%A7um_(Rio_Grande_do_Sul)" TargetMode="External"/><Relationship Id="rId1077" Type="http://schemas.openxmlformats.org/officeDocument/2006/relationships/hyperlink" Target="https://pt.wikipedia.org/wiki/Salvador_do_Sul" TargetMode="External"/><Relationship Id="rId1200" Type="http://schemas.openxmlformats.org/officeDocument/2006/relationships/hyperlink" Target="https://pt.wikipedia.org/wiki/S%C3%A3o_Louren%C3%A7o_do_Sul" TargetMode="External"/><Relationship Id="rId654" Type="http://schemas.openxmlformats.org/officeDocument/2006/relationships/hyperlink" Target="https://pt.wikipedia.org/wiki/Microrregi%C3%A3o_de_Gramado-Canela" TargetMode="External"/><Relationship Id="rId861" Type="http://schemas.openxmlformats.org/officeDocument/2006/relationships/hyperlink" Target="https://pt.wikipedia.org/wiki/Microrregi%C3%A3o_de_Cachoeira_do_Sul" TargetMode="External"/><Relationship Id="rId959" Type="http://schemas.openxmlformats.org/officeDocument/2006/relationships/hyperlink" Target="https://pt.wikipedia.org/wiki/Mesorregi%C3%A3o_do_Noroeste_Rio-Grandense" TargetMode="External"/><Relationship Id="rId1284" Type="http://schemas.openxmlformats.org/officeDocument/2006/relationships/hyperlink" Target="https://pt.wikipedia.org/wiki/Serafina_Corr%C3%AAa" TargetMode="External"/><Relationship Id="rId1491" Type="http://schemas.openxmlformats.org/officeDocument/2006/relationships/hyperlink" Target="https://pt.wikipedia.org/wiki/Xangri-l%C3%A1_(Rio_Grande_do_Sul)" TargetMode="External"/><Relationship Id="rId293" Type="http://schemas.openxmlformats.org/officeDocument/2006/relationships/hyperlink" Target="https://pt.wikipedia.org/wiki/Mesorregi%C3%A3o_do_Noroeste_Rio-Grandense" TargetMode="External"/><Relationship Id="rId307" Type="http://schemas.openxmlformats.org/officeDocument/2006/relationships/hyperlink" Target="https://pt.wikipedia.org/wiki/Microrregi%C3%A3o_de_Cerro_Largo" TargetMode="External"/><Relationship Id="rId514" Type="http://schemas.openxmlformats.org/officeDocument/2006/relationships/hyperlink" Target="https://pt.wikipedia.org/wiki/Mesorregi%C3%A3o_do_Centro_Oriental_Rio-Grandense" TargetMode="External"/><Relationship Id="rId721" Type="http://schemas.openxmlformats.org/officeDocument/2006/relationships/hyperlink" Target="https://pt.wikipedia.org/wiki/Mesorregi%C3%A3o_Metropolitana_de_Porto_Alegre" TargetMode="External"/><Relationship Id="rId1144" Type="http://schemas.openxmlformats.org/officeDocument/2006/relationships/hyperlink" Target="https://pt.wikipedia.org/wiki/Microrregi%C3%A3o_de_Sananduva" TargetMode="External"/><Relationship Id="rId1351" Type="http://schemas.openxmlformats.org/officeDocument/2006/relationships/hyperlink" Target="https://pt.wikipedia.org/wiki/Microrregi%C3%A3o_de_Tr%C3%AAs_Passos" TargetMode="External"/><Relationship Id="rId1449" Type="http://schemas.openxmlformats.org/officeDocument/2006/relationships/hyperlink" Target="https://pt.wikipedia.org/wiki/Vespasiano_Corr%C3%AAa" TargetMode="External"/><Relationship Id="rId88" Type="http://schemas.openxmlformats.org/officeDocument/2006/relationships/hyperlink" Target="https://pt.wikipedia.org/wiki/Microrregi%C3%A3o_de_Erechim" TargetMode="External"/><Relationship Id="rId153" Type="http://schemas.openxmlformats.org/officeDocument/2006/relationships/hyperlink" Target="https://pt.wikipedia.org/wiki/Bom_Progresso" TargetMode="External"/><Relationship Id="rId360" Type="http://schemas.openxmlformats.org/officeDocument/2006/relationships/hyperlink" Target="https://pt.wikipedia.org/wiki/Microrregi%C3%A3o_de_Caxias_do_Sul" TargetMode="External"/><Relationship Id="rId598" Type="http://schemas.openxmlformats.org/officeDocument/2006/relationships/hyperlink" Target="https://pt.wikipedia.org/wiki/Mesorregi%C3%A3o_do_Noroeste_Rio-Grandense" TargetMode="External"/><Relationship Id="rId819" Type="http://schemas.openxmlformats.org/officeDocument/2006/relationships/hyperlink" Target="https://pt.wikipedia.org/wiki/Microrregi%C3%A3o_de_Guapor%C3%A9" TargetMode="External"/><Relationship Id="rId1004" Type="http://schemas.openxmlformats.org/officeDocument/2006/relationships/hyperlink" Target="https://pt.wikipedia.org/wiki/Mesorregi%C3%A3o_do_Nordeste_Rio-Grandense" TargetMode="External"/><Relationship Id="rId1211" Type="http://schemas.openxmlformats.org/officeDocument/2006/relationships/hyperlink" Target="https://pt.wikipedia.org/wiki/Mesorregi%C3%A3o_do_Noroeste_Rio-Grandense" TargetMode="External"/><Relationship Id="rId220" Type="http://schemas.openxmlformats.org/officeDocument/2006/relationships/hyperlink" Target="https://pt.wikipedia.org/wiki/Microrregi%C3%A3o_de_Tr%C3%AAs_Passos" TargetMode="External"/><Relationship Id="rId458" Type="http://schemas.openxmlformats.org/officeDocument/2006/relationships/hyperlink" Target="https://pt.wikipedia.org/wiki/Esperan%C3%A7a_do_Sul" TargetMode="External"/><Relationship Id="rId665" Type="http://schemas.openxmlformats.org/officeDocument/2006/relationships/hyperlink" Target="https://pt.wikipedia.org/wiki/Jaguar%C3%A3o" TargetMode="External"/><Relationship Id="rId872" Type="http://schemas.openxmlformats.org/officeDocument/2006/relationships/hyperlink" Target="https://pt.wikipedia.org/wiki/Novo_Xingu" TargetMode="External"/><Relationship Id="rId1088" Type="http://schemas.openxmlformats.org/officeDocument/2006/relationships/hyperlink" Target="https://pt.wikipedia.org/wiki/Mesorregi%C3%A3o_do_Noroeste_Rio-Grandense" TargetMode="External"/><Relationship Id="rId1295" Type="http://schemas.openxmlformats.org/officeDocument/2006/relationships/hyperlink" Target="https://pt.wikipedia.org/wiki/Mesorregi%C3%A3o_Metropolitana_de_Porto_Alegre" TargetMode="External"/><Relationship Id="rId1309" Type="http://schemas.openxmlformats.org/officeDocument/2006/relationships/hyperlink" Target="https://pt.wikipedia.org/wiki/Microrregi%C3%A3o_de_Santa_Cruz_do_Sul" TargetMode="External"/><Relationship Id="rId15" Type="http://schemas.openxmlformats.org/officeDocument/2006/relationships/hyperlink" Target="https://pt.wikipedia.org/wiki/Alecrim_(Rio_Grande_do_Sul)" TargetMode="External"/><Relationship Id="rId318" Type="http://schemas.openxmlformats.org/officeDocument/2006/relationships/hyperlink" Target="https://pt.wikipedia.org/wiki/Chiapetta" TargetMode="External"/><Relationship Id="rId525" Type="http://schemas.openxmlformats.org/officeDocument/2006/relationships/hyperlink" Target="https://pt.wikipedia.org/wiki/Microrregi%C3%A3o_da_Campanha_Ocidental" TargetMode="External"/><Relationship Id="rId732" Type="http://schemas.openxmlformats.org/officeDocument/2006/relationships/hyperlink" Target="https://pt.wikipedia.org/wiki/Microrregi%C3%A3o_de_Passo_Fundo" TargetMode="External"/><Relationship Id="rId1155" Type="http://schemas.openxmlformats.org/officeDocument/2006/relationships/hyperlink" Target="https://pt.wikipedia.org/wiki/S%C3%A3o_Francisco_de_Paula_(Rio_Grande_do_Sul)" TargetMode="External"/><Relationship Id="rId1362" Type="http://schemas.openxmlformats.org/officeDocument/2006/relationships/hyperlink" Target="https://pt.wikipedia.org/wiki/Travesseiro_(Rio_Grande_do_Sul)" TargetMode="External"/><Relationship Id="rId99" Type="http://schemas.openxmlformats.org/officeDocument/2006/relationships/hyperlink" Target="https://pt.wikipedia.org/wiki/Bar%C3%A3o_de_Cotegipe" TargetMode="External"/><Relationship Id="rId164" Type="http://schemas.openxmlformats.org/officeDocument/2006/relationships/hyperlink" Target="https://pt.wikipedia.org/wiki/Mesorregi%C3%A3o_do_Noroeste_Rio-Grandense" TargetMode="External"/><Relationship Id="rId371" Type="http://schemas.openxmlformats.org/officeDocument/2006/relationships/hyperlink" Target="https://pt.wikipedia.org/wiki/Cristal_do_Sul" TargetMode="External"/><Relationship Id="rId1015" Type="http://schemas.openxmlformats.org/officeDocument/2006/relationships/hyperlink" Target="https://pt.wikipedia.org/wiki/Microrregi%C3%A3o_de_Santiago" TargetMode="External"/><Relationship Id="rId1222" Type="http://schemas.openxmlformats.org/officeDocument/2006/relationships/hyperlink" Target="https://pt.wikipedia.org/wiki/Microrregi%C3%A3o_de_Cerro_Largo" TargetMode="External"/><Relationship Id="rId469" Type="http://schemas.openxmlformats.org/officeDocument/2006/relationships/hyperlink" Target="https://pt.wikipedia.org/wiki/Mesorregi%C3%A3o_Metropolitana_de_Porto_Alegre" TargetMode="External"/><Relationship Id="rId676" Type="http://schemas.openxmlformats.org/officeDocument/2006/relationships/hyperlink" Target="https://pt.wikipedia.org/wiki/Mesorregi%C3%A3o_do_Centro_Ocidental_Rio-Grandense" TargetMode="External"/><Relationship Id="rId883" Type="http://schemas.openxmlformats.org/officeDocument/2006/relationships/hyperlink" Target="https://pt.wikipedia.org/wiki/Mesorregi%C3%A3o_Metropolitana_de_Porto_Alegre" TargetMode="External"/><Relationship Id="rId1099" Type="http://schemas.openxmlformats.org/officeDocument/2006/relationships/hyperlink" Target="https://pt.wikipedia.org/wiki/Santa_Maria_(Rio_Grande_do_Sul)" TargetMode="External"/><Relationship Id="rId26" Type="http://schemas.openxmlformats.org/officeDocument/2006/relationships/hyperlink" Target="https://pt.wikipedia.org/wiki/Mesorregi%C3%A3o_do_Noroeste_Rio-Grandense" TargetMode="External"/><Relationship Id="rId231" Type="http://schemas.openxmlformats.org/officeDocument/2006/relationships/hyperlink" Target="https://pt.wikipedia.org/wiki/Candiota" TargetMode="External"/><Relationship Id="rId329" Type="http://schemas.openxmlformats.org/officeDocument/2006/relationships/hyperlink" Target="https://pt.wikipedia.org/wiki/Cir%C3%ADaco_(Rio_Grande_do_Sul)" TargetMode="External"/><Relationship Id="rId536" Type="http://schemas.openxmlformats.org/officeDocument/2006/relationships/hyperlink" Target="https://pt.wikipedia.org/wiki/Get%C3%BAlio_Vargas_(Rio_Grande_do_Sul)" TargetMode="External"/><Relationship Id="rId1166" Type="http://schemas.openxmlformats.org/officeDocument/2006/relationships/hyperlink" Target="https://pt.wikipedia.org/wiki/Mesorregi%C3%A3o_do_Noroeste_Rio-Grandense" TargetMode="External"/><Relationship Id="rId1373" Type="http://schemas.openxmlformats.org/officeDocument/2006/relationships/hyperlink" Target="https://pt.wikipedia.org/wiki/Mesorregi%C3%A3o_Metropolitana_de_Porto_Alegre" TargetMode="External"/><Relationship Id="rId175" Type="http://schemas.openxmlformats.org/officeDocument/2006/relationships/hyperlink" Target="https://pt.wikipedia.org/wiki/Microrregi%C3%A3o_de_S%C3%A3o_Jer%C3%B4nimo" TargetMode="External"/><Relationship Id="rId743" Type="http://schemas.openxmlformats.org/officeDocument/2006/relationships/hyperlink" Target="https://pt.wikipedia.org/wiki/Marques_de_Souza" TargetMode="External"/><Relationship Id="rId950" Type="http://schemas.openxmlformats.org/officeDocument/2006/relationships/hyperlink" Target="https://pt.wikipedia.org/wiki/Pinheiro_Machado_(Rio_Grande_do_Sul)" TargetMode="External"/><Relationship Id="rId1026" Type="http://schemas.openxmlformats.org/officeDocument/2006/relationships/hyperlink" Target="https://pt.wikipedia.org/wiki/Restinga_Seca" TargetMode="External"/><Relationship Id="rId382" Type="http://schemas.openxmlformats.org/officeDocument/2006/relationships/hyperlink" Target="https://pt.wikipedia.org/wiki/Mesorregi%C3%A3o_do_Centro_Oriental_Rio-Grandense" TargetMode="External"/><Relationship Id="rId603" Type="http://schemas.openxmlformats.org/officeDocument/2006/relationships/hyperlink" Target="https://pt.wikipedia.org/wiki/Microrregi%C3%A3o_de_Gramado-Canela" TargetMode="External"/><Relationship Id="rId687" Type="http://schemas.openxmlformats.org/officeDocument/2006/relationships/hyperlink" Target="https://pt.wikipedia.org/wiki/Microrregi%C3%A3o_de_N%C3%A3o-Me-Toque" TargetMode="External"/><Relationship Id="rId810" Type="http://schemas.openxmlformats.org/officeDocument/2006/relationships/hyperlink" Target="https://pt.wikipedia.org/wiki/Microrregi%C3%A3o_de_Frederico_Westphalen" TargetMode="External"/><Relationship Id="rId908" Type="http://schemas.openxmlformats.org/officeDocument/2006/relationships/hyperlink" Target="https://pt.wikipedia.org/wiki/Passa-Sete" TargetMode="External"/><Relationship Id="rId1233" Type="http://schemas.openxmlformats.org/officeDocument/2006/relationships/hyperlink" Target="https://pt.wikipedia.org/wiki/S%C3%A3o_Pedro_do_Sul_(Rio_Grande_do_Sul)" TargetMode="External"/><Relationship Id="rId1440" Type="http://schemas.openxmlformats.org/officeDocument/2006/relationships/hyperlink" Target="https://pt.wikipedia.org/wiki/Ven%C3%A2ncio_Aires" TargetMode="External"/><Relationship Id="rId242" Type="http://schemas.openxmlformats.org/officeDocument/2006/relationships/hyperlink" Target="https://pt.wikipedia.org/wiki/Mesorregi%C3%A3o_Metropolitana_de_Porto_Alegre" TargetMode="External"/><Relationship Id="rId894" Type="http://schemas.openxmlformats.org/officeDocument/2006/relationships/hyperlink" Target="https://pt.wikipedia.org/wiki/Microrregi%C3%A3o_de_Cachoeira_do_Sul" TargetMode="External"/><Relationship Id="rId1177" Type="http://schemas.openxmlformats.org/officeDocument/2006/relationships/hyperlink" Target="https://pt.wikipedia.org/wiki/Microrregi%C3%A3o_de_Soledade" TargetMode="External"/><Relationship Id="rId1300" Type="http://schemas.openxmlformats.org/officeDocument/2006/relationships/hyperlink" Target="https://pt.wikipedia.org/wiki/Microrregi%C3%A3o_de_Erechim" TargetMode="External"/><Relationship Id="rId37" Type="http://schemas.openxmlformats.org/officeDocument/2006/relationships/hyperlink" Target="https://pt.wikipedia.org/wiki/Microrregi%C3%A3o_de_Porto_Alegre" TargetMode="External"/><Relationship Id="rId102" Type="http://schemas.openxmlformats.org/officeDocument/2006/relationships/hyperlink" Target="https://pt.wikipedia.org/wiki/Bar%C3%A3o_do_Triunfo" TargetMode="External"/><Relationship Id="rId547" Type="http://schemas.openxmlformats.org/officeDocument/2006/relationships/hyperlink" Target="https://pt.wikipedia.org/wiki/Mesorregi%C3%A3o_Metropolitana_de_Porto_Alegre" TargetMode="External"/><Relationship Id="rId754" Type="http://schemas.openxmlformats.org/officeDocument/2006/relationships/hyperlink" Target="https://pt.wikipedia.org/wiki/Mesorregi%C3%A3o_do_Centro_Oriental_Rio-Grandense" TargetMode="External"/><Relationship Id="rId961" Type="http://schemas.openxmlformats.org/officeDocument/2006/relationships/hyperlink" Target="https://pt.wikipedia.org/wiki/Microrregi%C3%A3o_das_Serras_de_Sudeste" TargetMode="External"/><Relationship Id="rId1384" Type="http://schemas.openxmlformats.org/officeDocument/2006/relationships/hyperlink" Target="https://pt.wikipedia.org/wiki/Microrregi%C3%A3o_de_Tr%C3%AAs_Passos" TargetMode="External"/><Relationship Id="rId90" Type="http://schemas.openxmlformats.org/officeDocument/2006/relationships/hyperlink" Target="https://pt.wikipedia.org/wiki/Bag%C3%A9" TargetMode="External"/><Relationship Id="rId186" Type="http://schemas.openxmlformats.org/officeDocument/2006/relationships/hyperlink" Target="https://pt.wikipedia.org/wiki/Cachoeirinha_(Rio_Grande_do_Sul)" TargetMode="External"/><Relationship Id="rId393" Type="http://schemas.openxmlformats.org/officeDocument/2006/relationships/hyperlink" Target="https://pt.wikipedia.org/wiki/Microrregi%C3%A3o_de_Santa_Maria" TargetMode="External"/><Relationship Id="rId407" Type="http://schemas.openxmlformats.org/officeDocument/2006/relationships/hyperlink" Target="https://pt.wikipedia.org/wiki/Dom_Pedrito" TargetMode="External"/><Relationship Id="rId614" Type="http://schemas.openxmlformats.org/officeDocument/2006/relationships/hyperlink" Target="https://pt.wikipedia.org/wiki/Imigrante" TargetMode="External"/><Relationship Id="rId821" Type="http://schemas.openxmlformats.org/officeDocument/2006/relationships/hyperlink" Target="https://pt.wikipedia.org/wiki/Nova_Boa_Vista" TargetMode="External"/><Relationship Id="rId1037" Type="http://schemas.openxmlformats.org/officeDocument/2006/relationships/hyperlink" Target="https://pt.wikipedia.org/wiki/Mesorregi%C3%A3o_do_Centro_Oriental_Rio-Grandense" TargetMode="External"/><Relationship Id="rId1244" Type="http://schemas.openxmlformats.org/officeDocument/2006/relationships/hyperlink" Target="https://pt.wikipedia.org/wiki/Mesorregi%C3%A3o_do_Noroeste_Rio-Grandense" TargetMode="External"/><Relationship Id="rId1451" Type="http://schemas.openxmlformats.org/officeDocument/2006/relationships/hyperlink" Target="https://pt.wikipedia.org/wiki/Mesorregi%C3%A3o_do_Centro_Oriental_Rio-Grandense" TargetMode="External"/><Relationship Id="rId253" Type="http://schemas.openxmlformats.org/officeDocument/2006/relationships/hyperlink" Target="https://pt.wikipedia.org/wiki/Microrregi%C3%A3o_de_Santiago" TargetMode="External"/><Relationship Id="rId460" Type="http://schemas.openxmlformats.org/officeDocument/2006/relationships/hyperlink" Target="https://pt.wikipedia.org/wiki/Mesorregi%C3%A3o_do_Noroeste_Rio-Grandense" TargetMode="External"/><Relationship Id="rId698" Type="http://schemas.openxmlformats.org/officeDocument/2006/relationships/hyperlink" Target="https://pt.wikipedia.org/wiki/Lajeado_do_Bugre" TargetMode="External"/><Relationship Id="rId919" Type="http://schemas.openxmlformats.org/officeDocument/2006/relationships/hyperlink" Target="https://pt.wikipedia.org/wiki/Mesorregi%C3%A3o_do_Noroeste_Rio-Grandense" TargetMode="External"/><Relationship Id="rId1090" Type="http://schemas.openxmlformats.org/officeDocument/2006/relationships/hyperlink" Target="https://pt.wikipedia.org/wiki/Microrregi%C3%A3o_de_Lajeado-Estrela" TargetMode="External"/><Relationship Id="rId1104" Type="http://schemas.openxmlformats.org/officeDocument/2006/relationships/hyperlink" Target="https://pt.wikipedia.org/wiki/Santa_Rosa" TargetMode="External"/><Relationship Id="rId1311" Type="http://schemas.openxmlformats.org/officeDocument/2006/relationships/hyperlink" Target="https://pt.wikipedia.org/wiki/Soledade_(Rio_Grande_do_Sul)" TargetMode="External"/><Relationship Id="rId48" Type="http://schemas.openxmlformats.org/officeDocument/2006/relationships/hyperlink" Target="https://pt.wikipedia.org/wiki/Anta_Gorda" TargetMode="External"/><Relationship Id="rId113" Type="http://schemas.openxmlformats.org/officeDocument/2006/relationships/hyperlink" Target="https://pt.wikipedia.org/wiki/Mesorregi%C3%A3o_Metropolitana_de_Porto_Alegre" TargetMode="External"/><Relationship Id="rId320" Type="http://schemas.openxmlformats.org/officeDocument/2006/relationships/hyperlink" Target="https://pt.wikipedia.org/wiki/Mesorregi%C3%A3o_do_Noroeste_Rio-Grandense" TargetMode="External"/><Relationship Id="rId558" Type="http://schemas.openxmlformats.org/officeDocument/2006/relationships/hyperlink" Target="https://pt.wikipedia.org/wiki/Microrregi%C3%A3o_de_Guapor%C3%A9" TargetMode="External"/><Relationship Id="rId765" Type="http://schemas.openxmlformats.org/officeDocument/2006/relationships/hyperlink" Target="https://pt.wikipedia.org/wiki/Microrregi%C3%A3o_de_Tr%C3%AAs_Passos" TargetMode="External"/><Relationship Id="rId972" Type="http://schemas.openxmlformats.org/officeDocument/2006/relationships/hyperlink" Target="https://pt.wikipedia.org/wiki/Ponte_Preta_(Rio_Grande_do_Sul)" TargetMode="External"/><Relationship Id="rId1188" Type="http://schemas.openxmlformats.org/officeDocument/2006/relationships/hyperlink" Target="https://pt.wikipedia.org/wiki/S%C3%A3o_Jos%C3%A9_do_Ouro" TargetMode="External"/><Relationship Id="rId1395" Type="http://schemas.openxmlformats.org/officeDocument/2006/relationships/hyperlink" Target="https://pt.wikipedia.org/wiki/Tunas" TargetMode="External"/><Relationship Id="rId1409" Type="http://schemas.openxmlformats.org/officeDocument/2006/relationships/hyperlink" Target="https://pt.wikipedia.org/wiki/Mesorregi%C3%A3o_do_Noroeste_Rio-Grandense" TargetMode="External"/><Relationship Id="rId197" Type="http://schemas.openxmlformats.org/officeDocument/2006/relationships/hyperlink" Target="https://pt.wikipedia.org/wiki/Mesorregi%C3%A3o_do_Noroeste_Rio-Grandense" TargetMode="External"/><Relationship Id="rId418" Type="http://schemas.openxmlformats.org/officeDocument/2006/relationships/hyperlink" Target="https://pt.wikipedia.org/wiki/Mesorregi%C3%A3o_do_Noroeste_Rio-Grandense" TargetMode="External"/><Relationship Id="rId625" Type="http://schemas.openxmlformats.org/officeDocument/2006/relationships/hyperlink" Target="https://pt.wikipedia.org/wiki/Mesorregi%C3%A3o_do_Nordeste_Rio-Grandense" TargetMode="External"/><Relationship Id="rId832" Type="http://schemas.openxmlformats.org/officeDocument/2006/relationships/hyperlink" Target="https://pt.wikipedia.org/wiki/Mesorregi%C3%A3o_do_Centro_Ocidental_Rio-Grandense" TargetMode="External"/><Relationship Id="rId1048" Type="http://schemas.openxmlformats.org/officeDocument/2006/relationships/hyperlink" Target="https://pt.wikipedia.org/wiki/Microrregi%C3%A3o_de_Santo_%C3%82ngelo" TargetMode="External"/><Relationship Id="rId1255" Type="http://schemas.openxmlformats.org/officeDocument/2006/relationships/hyperlink" Target="https://pt.wikipedia.org/wiki/Microrregi%C3%A3o_de_Santa_Maria" TargetMode="External"/><Relationship Id="rId1462" Type="http://schemas.openxmlformats.org/officeDocument/2006/relationships/hyperlink" Target="https://pt.wikipedia.org/wiki/Microrregi%C3%A3o_de_N%C3%A3o-Me-Toque" TargetMode="External"/><Relationship Id="rId264" Type="http://schemas.openxmlformats.org/officeDocument/2006/relationships/hyperlink" Target="https://pt.wikipedia.org/wiki/Capivari_do_Sul" TargetMode="External"/><Relationship Id="rId471" Type="http://schemas.openxmlformats.org/officeDocument/2006/relationships/hyperlink" Target="https://pt.wikipedia.org/wiki/Microrregi%C3%A3o_de_Porto_Alegre" TargetMode="External"/><Relationship Id="rId1115" Type="http://schemas.openxmlformats.org/officeDocument/2006/relationships/hyperlink" Target="https://pt.wikipedia.org/wiki/Mesorregi%C3%A3o_do_Sudeste_Rio-Grandense" TargetMode="External"/><Relationship Id="rId1322" Type="http://schemas.openxmlformats.org/officeDocument/2006/relationships/hyperlink" Target="https://pt.wikipedia.org/wiki/Mesorregi%C3%A3o_do_Noroeste_Rio-Grandense" TargetMode="External"/><Relationship Id="rId59" Type="http://schemas.openxmlformats.org/officeDocument/2006/relationships/hyperlink" Target="https://pt.wikipedia.org/wiki/Mesorregi%C3%A3o_Metropolitana_de_Porto_Alegre" TargetMode="External"/><Relationship Id="rId124" Type="http://schemas.openxmlformats.org/officeDocument/2006/relationships/hyperlink" Target="https://pt.wikipedia.org/wiki/Microrregi%C3%A3o_de_Soledade" TargetMode="External"/><Relationship Id="rId569" Type="http://schemas.openxmlformats.org/officeDocument/2006/relationships/hyperlink" Target="https://pt.wikipedia.org/wiki/Harmonia_(Rio_Grande_do_Sul)" TargetMode="External"/><Relationship Id="rId776" Type="http://schemas.openxmlformats.org/officeDocument/2006/relationships/hyperlink" Target="https://pt.wikipedia.org/wiki/Montenegro_(Rio_Grande_do_Sul)" TargetMode="External"/><Relationship Id="rId983" Type="http://schemas.openxmlformats.org/officeDocument/2006/relationships/hyperlink" Target="https://pt.wikipedia.org/wiki/Mesorregi%C3%A3o_do_Noroeste_Rio-Grandense" TargetMode="External"/><Relationship Id="rId1199" Type="http://schemas.openxmlformats.org/officeDocument/2006/relationships/hyperlink" Target="https://pt.wikipedia.org/wiki/Mesorregi%C3%A3o_Metropolitana_de_Porto_Alegre" TargetMode="External"/><Relationship Id="rId331" Type="http://schemas.openxmlformats.org/officeDocument/2006/relationships/hyperlink" Target="https://pt.wikipedia.org/wiki/Mesorregi%C3%A3o_do_Noroeste_Rio-Grandense" TargetMode="External"/><Relationship Id="rId429" Type="http://schemas.openxmlformats.org/officeDocument/2006/relationships/hyperlink" Target="https://pt.wikipedia.org/wiki/Microrregi%C3%A3o_das_Serras_de_Sudeste" TargetMode="External"/><Relationship Id="rId636" Type="http://schemas.openxmlformats.org/officeDocument/2006/relationships/hyperlink" Target="https://pt.wikipedia.org/wiki/Microrregi%C3%A3o_de_Santiago" TargetMode="External"/><Relationship Id="rId1059" Type="http://schemas.openxmlformats.org/officeDocument/2006/relationships/hyperlink" Target="https://pt.wikipedia.org/wiki/Roque_Gonzales" TargetMode="External"/><Relationship Id="rId1266" Type="http://schemas.openxmlformats.org/officeDocument/2006/relationships/hyperlink" Target="https://pt.wikipedia.org/wiki/Seberi" TargetMode="External"/><Relationship Id="rId1473" Type="http://schemas.openxmlformats.org/officeDocument/2006/relationships/hyperlink" Target="https://pt.wikipedia.org/wiki/Vila_Nova_do_Sul" TargetMode="External"/><Relationship Id="rId843" Type="http://schemas.openxmlformats.org/officeDocument/2006/relationships/hyperlink" Target="https://pt.wikipedia.org/wiki/Microrregi%C3%A3o_de_Gramado-Canela" TargetMode="External"/><Relationship Id="rId1126" Type="http://schemas.openxmlformats.org/officeDocument/2006/relationships/hyperlink" Target="https://pt.wikipedia.org/wiki/Microrregi%C3%A3o_de_Os%C3%B3rio" TargetMode="External"/><Relationship Id="rId275" Type="http://schemas.openxmlformats.org/officeDocument/2006/relationships/hyperlink" Target="https://pt.wikipedia.org/wiki/Mesorregi%C3%A3o_do_Nordeste_Rio-Grandense" TargetMode="External"/><Relationship Id="rId482" Type="http://schemas.openxmlformats.org/officeDocument/2006/relationships/hyperlink" Target="https://pt.wikipedia.org/wiki/Fagundes_Varela_(Rio_Grande_do_Sul)" TargetMode="External"/><Relationship Id="rId703" Type="http://schemas.openxmlformats.org/officeDocument/2006/relationships/hyperlink" Target="https://pt.wikipedia.org/wiki/Mesorregi%C3%A3o_do_Sudoeste_Rio-Grandense" TargetMode="External"/><Relationship Id="rId910" Type="http://schemas.openxmlformats.org/officeDocument/2006/relationships/hyperlink" Target="https://pt.wikipedia.org/wiki/Mesorregi%C3%A3o_do_Centro_Oriental_Rio-Grandense" TargetMode="External"/><Relationship Id="rId1333" Type="http://schemas.openxmlformats.org/officeDocument/2006/relationships/hyperlink" Target="https://pt.wikipedia.org/wiki/Microrregi%C3%A3o_de_Frederico_Westphalen" TargetMode="External"/><Relationship Id="rId135" Type="http://schemas.openxmlformats.org/officeDocument/2006/relationships/hyperlink" Target="https://pt.wikipedia.org/wiki/Boa_Vista_do_Buric%C3%A1" TargetMode="External"/><Relationship Id="rId342" Type="http://schemas.openxmlformats.org/officeDocument/2006/relationships/hyperlink" Target="https://pt.wikipedia.org/wiki/Microrregi%C3%A3o_de_Frederico_Westphalen" TargetMode="External"/><Relationship Id="rId787" Type="http://schemas.openxmlformats.org/officeDocument/2006/relationships/hyperlink" Target="https://pt.wikipedia.org/wiki/Mesorregi%C3%A3o_do_Sudeste_Rio-Grandense" TargetMode="External"/><Relationship Id="rId994" Type="http://schemas.openxmlformats.org/officeDocument/2006/relationships/hyperlink" Target="https://pt.wikipedia.org/wiki/Microrregi%C3%A3o_de_Lajeado-Estrela" TargetMode="External"/><Relationship Id="rId1400" Type="http://schemas.openxmlformats.org/officeDocument/2006/relationships/hyperlink" Target="https://pt.wikipedia.org/wiki/Mesorregi%C3%A3o_do_Noroeste_Rio-Grandense" TargetMode="External"/><Relationship Id="rId202" Type="http://schemas.openxmlformats.org/officeDocument/2006/relationships/hyperlink" Target="https://pt.wikipedia.org/wiki/Microrregi%C3%A3o_de_Passo_Fundo" TargetMode="External"/><Relationship Id="rId647" Type="http://schemas.openxmlformats.org/officeDocument/2006/relationships/hyperlink" Target="https://pt.wikipedia.org/wiki/Itatiba_do_Sul" TargetMode="External"/><Relationship Id="rId854" Type="http://schemas.openxmlformats.org/officeDocument/2006/relationships/hyperlink" Target="https://pt.wikipedia.org/wiki/Nova_Santa_Rita_(Rio_Grande_do_Sul)" TargetMode="External"/><Relationship Id="rId1277" Type="http://schemas.openxmlformats.org/officeDocument/2006/relationships/hyperlink" Target="https://pt.wikipedia.org/wiki/Mesorregi%C3%A3o_do_Noroeste_Rio-Grandense" TargetMode="External"/><Relationship Id="rId1484" Type="http://schemas.openxmlformats.org/officeDocument/2006/relationships/hyperlink" Target="https://pt.wikipedia.org/wiki/Mesorregi%C3%A3o_do_Noroeste_Rio-Grandense" TargetMode="External"/><Relationship Id="rId286" Type="http://schemas.openxmlformats.org/officeDocument/2006/relationships/hyperlink" Target="https://pt.wikipedia.org/wiki/Microrregi%C3%A3o_de_Santo_%C3%82ngelo" TargetMode="External"/><Relationship Id="rId493" Type="http://schemas.openxmlformats.org/officeDocument/2006/relationships/hyperlink" Target="https://pt.wikipedia.org/wiki/Mesorregi%C3%A3o_do_Noroeste_Rio-Grandense" TargetMode="External"/><Relationship Id="rId507" Type="http://schemas.openxmlformats.org/officeDocument/2006/relationships/hyperlink" Target="https://pt.wikipedia.org/wiki/Microrregi%C3%A3o_de_Soledade" TargetMode="External"/><Relationship Id="rId714" Type="http://schemas.openxmlformats.org/officeDocument/2006/relationships/hyperlink" Target="https://pt.wikipedia.org/wiki/Microrregi%C3%A3o_da_Campanha_Ocidental" TargetMode="External"/><Relationship Id="rId921" Type="http://schemas.openxmlformats.org/officeDocument/2006/relationships/hyperlink" Target="https://pt.wikipedia.org/wiki/Microrregi%C3%A3o_de_Lajeado-Estrela" TargetMode="External"/><Relationship Id="rId1137" Type="http://schemas.openxmlformats.org/officeDocument/2006/relationships/hyperlink" Target="https://pt.wikipedia.org/wiki/Santo_Augusto" TargetMode="External"/><Relationship Id="rId1344" Type="http://schemas.openxmlformats.org/officeDocument/2006/relationships/hyperlink" Target="https://pt.wikipedia.org/wiki/Teut%C3%B4nia" TargetMode="External"/><Relationship Id="rId50" Type="http://schemas.openxmlformats.org/officeDocument/2006/relationships/hyperlink" Target="https://pt.wikipedia.org/wiki/Mesorregi%C3%A3o_do_Nordeste_Rio-Grandense" TargetMode="External"/><Relationship Id="rId146" Type="http://schemas.openxmlformats.org/officeDocument/2006/relationships/hyperlink" Target="https://pt.wikipedia.org/wiki/Mesorregi%C3%A3o_do_Nordeste_Rio-Grandense" TargetMode="External"/><Relationship Id="rId353" Type="http://schemas.openxmlformats.org/officeDocument/2006/relationships/hyperlink" Target="https://pt.wikipedia.org/wiki/Coronel_Bicaco" TargetMode="External"/><Relationship Id="rId560" Type="http://schemas.openxmlformats.org/officeDocument/2006/relationships/hyperlink" Target="https://pt.wikipedia.org/wiki/Gua%C3%ADba" TargetMode="External"/><Relationship Id="rId798" Type="http://schemas.openxmlformats.org/officeDocument/2006/relationships/hyperlink" Target="https://pt.wikipedia.org/wiki/Microrregi%C3%A3o_de_Vacaria" TargetMode="External"/><Relationship Id="rId1190" Type="http://schemas.openxmlformats.org/officeDocument/2006/relationships/hyperlink" Target="https://pt.wikipedia.org/wiki/Mesorregi%C3%A3o_do_Noroeste_Rio-Grandense" TargetMode="External"/><Relationship Id="rId1204" Type="http://schemas.openxmlformats.org/officeDocument/2006/relationships/hyperlink" Target="https://pt.wikipedia.org/wiki/Microrregi%C3%A3o_de_Santo_%C3%82ngelo" TargetMode="External"/><Relationship Id="rId1411" Type="http://schemas.openxmlformats.org/officeDocument/2006/relationships/hyperlink" Target="https://pt.wikipedia.org/wiki/Microrregi%C3%A3o_de_Pelotas" TargetMode="External"/><Relationship Id="rId213" Type="http://schemas.openxmlformats.org/officeDocument/2006/relationships/hyperlink" Target="https://pt.wikipedia.org/wiki/Campinas_do_Sul" TargetMode="External"/><Relationship Id="rId420" Type="http://schemas.openxmlformats.org/officeDocument/2006/relationships/hyperlink" Target="https://pt.wikipedia.org/wiki/Microrregi%C3%A3o_de_Lajeado-Estrela" TargetMode="External"/><Relationship Id="rId658" Type="http://schemas.openxmlformats.org/officeDocument/2006/relationships/hyperlink" Target="https://pt.wikipedia.org/wiki/Mesorregi%C3%A3o_do_Noroeste_Rio-Grandense" TargetMode="External"/><Relationship Id="rId865" Type="http://schemas.openxmlformats.org/officeDocument/2006/relationships/hyperlink" Target="https://pt.wikipedia.org/wiki/Mesorregi%C3%A3o_Metropolitana_de_Porto_Alegre" TargetMode="External"/><Relationship Id="rId1050" Type="http://schemas.openxmlformats.org/officeDocument/2006/relationships/hyperlink" Target="https://pt.wikipedia.org/wiki/Rolante" TargetMode="External"/><Relationship Id="rId1288" Type="http://schemas.openxmlformats.org/officeDocument/2006/relationships/hyperlink" Target="https://pt.wikipedia.org/wiki/Microrregi%C3%A3o_de_Lajeado-Estrela" TargetMode="External"/><Relationship Id="rId297" Type="http://schemas.openxmlformats.org/officeDocument/2006/relationships/hyperlink" Target="https://pt.wikipedia.org/wiki/Cerro_Branco" TargetMode="External"/><Relationship Id="rId518" Type="http://schemas.openxmlformats.org/officeDocument/2006/relationships/hyperlink" Target="https://pt.wikipedia.org/wiki/Frederico_Westphalen_(Rio_Grande_do_Sul)" TargetMode="External"/><Relationship Id="rId725" Type="http://schemas.openxmlformats.org/officeDocument/2006/relationships/hyperlink" Target="https://pt.wikipedia.org/wiki/Maquin%C3%A9" TargetMode="External"/><Relationship Id="rId932" Type="http://schemas.openxmlformats.org/officeDocument/2006/relationships/hyperlink" Target="https://pt.wikipedia.org/wiki/Pelotas" TargetMode="External"/><Relationship Id="rId1148" Type="http://schemas.openxmlformats.org/officeDocument/2006/relationships/hyperlink" Target="https://pt.wikipedia.org/wiki/Mesorregi%C3%A3o_do_Sudoeste_Rio-Grandense" TargetMode="External"/><Relationship Id="rId1355" Type="http://schemas.openxmlformats.org/officeDocument/2006/relationships/hyperlink" Target="https://pt.wikipedia.org/wiki/Mesorregi%C3%A3o_do_Centro_Ocidental_Rio-Grandense" TargetMode="External"/><Relationship Id="rId157" Type="http://schemas.openxmlformats.org/officeDocument/2006/relationships/hyperlink" Target="https://pt.wikipedia.org/wiki/Microrregi%C3%A3o_de_Lajeado-Estrela" TargetMode="External"/><Relationship Id="rId364" Type="http://schemas.openxmlformats.org/officeDocument/2006/relationships/hyperlink" Target="https://pt.wikipedia.org/wiki/Mesorregi%C3%A3o_do_Noroeste_Rio-Grandense" TargetMode="External"/><Relationship Id="rId1008" Type="http://schemas.openxmlformats.org/officeDocument/2006/relationships/hyperlink" Target="https://pt.wikipedia.org/wiki/Quara%C3%AD" TargetMode="External"/><Relationship Id="rId1215" Type="http://schemas.openxmlformats.org/officeDocument/2006/relationships/hyperlink" Target="https://pt.wikipedia.org/wiki/S%C3%A3o_Miguel_das_Miss%C3%B5es" TargetMode="External"/><Relationship Id="rId1422" Type="http://schemas.openxmlformats.org/officeDocument/2006/relationships/hyperlink" Target="https://pt.wikipedia.org/wiki/Uruguaiana" TargetMode="External"/><Relationship Id="rId61" Type="http://schemas.openxmlformats.org/officeDocument/2006/relationships/hyperlink" Target="https://pt.wikipedia.org/wiki/Microrregi%C3%A3o_de_Erechim" TargetMode="External"/><Relationship Id="rId571" Type="http://schemas.openxmlformats.org/officeDocument/2006/relationships/hyperlink" Target="https://pt.wikipedia.org/wiki/Mesorregi%C3%A3o_Metropolitana_de_Porto_Alegre" TargetMode="External"/><Relationship Id="rId669" Type="http://schemas.openxmlformats.org/officeDocument/2006/relationships/hyperlink" Target="https://pt.wikipedia.org/wiki/Microrregi%C3%A3o_de_Santa_Maria" TargetMode="External"/><Relationship Id="rId876" Type="http://schemas.openxmlformats.org/officeDocument/2006/relationships/hyperlink" Target="https://pt.wikipedia.org/wiki/Microrregi%C3%A3o_de_Os%C3%B3rio" TargetMode="External"/><Relationship Id="rId1299" Type="http://schemas.openxmlformats.org/officeDocument/2006/relationships/hyperlink" Target="https://pt.wikipedia.org/wiki/Severiano_de_Almeida" TargetMode="External"/><Relationship Id="rId19" Type="http://schemas.openxmlformats.org/officeDocument/2006/relationships/hyperlink" Target="https://pt.wikipedia.org/wiki/Microrregi%C3%A3o_da_Campanha_Ocidental" TargetMode="External"/><Relationship Id="rId224" Type="http://schemas.openxmlformats.org/officeDocument/2006/relationships/hyperlink" Target="https://pt.wikipedia.org/wiki/Mesorregi%C3%A3o_do_Noroeste_Rio-Grandense" TargetMode="External"/><Relationship Id="rId431" Type="http://schemas.openxmlformats.org/officeDocument/2006/relationships/hyperlink" Target="https://pt.wikipedia.org/wiki/Engenho_Velho" TargetMode="External"/><Relationship Id="rId529" Type="http://schemas.openxmlformats.org/officeDocument/2006/relationships/hyperlink" Target="https://pt.wikipedia.org/wiki/Mesorregi%C3%A3o_do_Noroeste_Rio-Grandense" TargetMode="External"/><Relationship Id="rId736" Type="http://schemas.openxmlformats.org/officeDocument/2006/relationships/hyperlink" Target="https://pt.wikipedia.org/wiki/Mesorregi%C3%A3o_do_Noroeste_Rio-Grandense" TargetMode="External"/><Relationship Id="rId1061" Type="http://schemas.openxmlformats.org/officeDocument/2006/relationships/hyperlink" Target="https://pt.wikipedia.org/wiki/Mesorregi%C3%A3o_do_Noroeste_Rio-Grandense" TargetMode="External"/><Relationship Id="rId1159" Type="http://schemas.openxmlformats.org/officeDocument/2006/relationships/hyperlink" Target="https://pt.wikipedia.org/wiki/Microrregi%C3%A3o_da_Campanha_Central" TargetMode="External"/><Relationship Id="rId1366" Type="http://schemas.openxmlformats.org/officeDocument/2006/relationships/hyperlink" Target="https://pt.wikipedia.org/wiki/Microrregi%C3%A3o_de_Erechim" TargetMode="External"/><Relationship Id="rId168" Type="http://schemas.openxmlformats.org/officeDocument/2006/relationships/hyperlink" Target="https://pt.wikipedia.org/wiki/Braga_(Rio_Grande_do_Sul)" TargetMode="External"/><Relationship Id="rId943" Type="http://schemas.openxmlformats.org/officeDocument/2006/relationships/hyperlink" Target="https://pt.wikipedia.org/wiki/Mesorregi%C3%A3o_do_Nordeste_Rio-Grandense" TargetMode="External"/><Relationship Id="rId1019" Type="http://schemas.openxmlformats.org/officeDocument/2006/relationships/hyperlink" Target="https://pt.wikipedia.org/wiki/Mesorregi%C3%A3o_do_Noroeste_Rio-Grandense" TargetMode="External"/><Relationship Id="rId72" Type="http://schemas.openxmlformats.org/officeDocument/2006/relationships/hyperlink" Target="https://pt.wikipedia.org/wiki/Arroio_do_Tigre" TargetMode="External"/><Relationship Id="rId375" Type="http://schemas.openxmlformats.org/officeDocument/2006/relationships/hyperlink" Target="https://pt.wikipedia.org/wiki/Microrregi%C3%A3o_de_Cruz_Alta" TargetMode="External"/><Relationship Id="rId582" Type="http://schemas.openxmlformats.org/officeDocument/2006/relationships/hyperlink" Target="https://pt.wikipedia.org/wiki/Microrregi%C3%A3o_da_Campanha_Meridional" TargetMode="External"/><Relationship Id="rId803" Type="http://schemas.openxmlformats.org/officeDocument/2006/relationships/hyperlink" Target="https://pt.wikipedia.org/wiki/N%C3%A3o-Me-Toque" TargetMode="External"/><Relationship Id="rId1226" Type="http://schemas.openxmlformats.org/officeDocument/2006/relationships/hyperlink" Target="https://pt.wikipedia.org/wiki/Mesorregi%C3%A3o_Metropolitana_de_Porto_Alegre" TargetMode="External"/><Relationship Id="rId1433" Type="http://schemas.openxmlformats.org/officeDocument/2006/relationships/hyperlink" Target="https://pt.wikipedia.org/wiki/Mesorregi%C3%A3o_Metropolitana_de_Porto_Alegre" TargetMode="External"/><Relationship Id="rId3" Type="http://schemas.openxmlformats.org/officeDocument/2006/relationships/hyperlink" Target="https://pt.wikipedia.org/wiki/Acegu%C3%A1" TargetMode="External"/><Relationship Id="rId235" Type="http://schemas.openxmlformats.org/officeDocument/2006/relationships/hyperlink" Target="https://pt.wikipedia.org/wiki/Microrregi%C3%A3o_de_Gramado-Canela" TargetMode="External"/><Relationship Id="rId442" Type="http://schemas.openxmlformats.org/officeDocument/2006/relationships/hyperlink" Target="https://pt.wikipedia.org/wiki/Mesorregi%C3%A3o_do_Noroeste_Rio-Grandense" TargetMode="External"/><Relationship Id="rId887" Type="http://schemas.openxmlformats.org/officeDocument/2006/relationships/hyperlink" Target="https://pt.wikipedia.org/wiki/Palmitinho" TargetMode="External"/><Relationship Id="rId1072" Type="http://schemas.openxmlformats.org/officeDocument/2006/relationships/hyperlink" Target="https://pt.wikipedia.org/wiki/Microrregi%C3%A3o_de_Cruz_Alta" TargetMode="External"/><Relationship Id="rId302" Type="http://schemas.openxmlformats.org/officeDocument/2006/relationships/hyperlink" Target="https://pt.wikipedia.org/wiki/Mesorregi%C3%A3o_do_Noroeste_Rio-Grandense" TargetMode="External"/><Relationship Id="rId747" Type="http://schemas.openxmlformats.org/officeDocument/2006/relationships/hyperlink" Target="https://pt.wikipedia.org/wiki/Microrregi%C3%A3o_de_Santa_Maria" TargetMode="External"/><Relationship Id="rId954" Type="http://schemas.openxmlformats.org/officeDocument/2006/relationships/hyperlink" Target="https://pt.wikipedia.org/wiki/Lista_de_munic%C3%ADpios_do_Rio_Grande_do_Sul_por_popula%C3%A7%C3%A3o" TargetMode="External"/><Relationship Id="rId1377" Type="http://schemas.openxmlformats.org/officeDocument/2006/relationships/hyperlink" Target="https://pt.wikipedia.org/wiki/Tr%C3%AAs_Forquilhas" TargetMode="External"/><Relationship Id="rId83" Type="http://schemas.openxmlformats.org/officeDocument/2006/relationships/hyperlink" Target="https://pt.wikipedia.org/wiki/Mesorregi%C3%A3o_do_Nordeste_Rio-Grandense" TargetMode="External"/><Relationship Id="rId179" Type="http://schemas.openxmlformats.org/officeDocument/2006/relationships/hyperlink" Target="https://pt.wikipedia.org/wiki/Mesorregi%C3%A3o_do_Sudeste_Rio-Grandense" TargetMode="External"/><Relationship Id="rId386" Type="http://schemas.openxmlformats.org/officeDocument/2006/relationships/hyperlink" Target="https://pt.wikipedia.org/wiki/Derrubadas" TargetMode="External"/><Relationship Id="rId593" Type="http://schemas.openxmlformats.org/officeDocument/2006/relationships/hyperlink" Target="https://pt.wikipedia.org/wiki/Ibiraiaras_(Rio_Grande_do_Sul)" TargetMode="External"/><Relationship Id="rId607" Type="http://schemas.openxmlformats.org/officeDocument/2006/relationships/hyperlink" Target="https://pt.wikipedia.org/wiki/Mesorregi%C3%A3o_do_Noroeste_Rio-Grandense" TargetMode="External"/><Relationship Id="rId814" Type="http://schemas.openxmlformats.org/officeDocument/2006/relationships/hyperlink" Target="https://pt.wikipedia.org/wiki/Mesorregi%C3%A3o_do_Nordeste_Rio-Grandense" TargetMode="External"/><Relationship Id="rId1237" Type="http://schemas.openxmlformats.org/officeDocument/2006/relationships/hyperlink" Target="https://pt.wikipedia.org/wiki/Microrregi%C3%A3o_de_Montenegro" TargetMode="External"/><Relationship Id="rId1444" Type="http://schemas.openxmlformats.org/officeDocument/2006/relationships/hyperlink" Target="https://pt.wikipedia.org/wiki/Microrregi%C3%A3o_de_Santa_Cruz_do_Sul" TargetMode="External"/><Relationship Id="rId246" Type="http://schemas.openxmlformats.org/officeDocument/2006/relationships/hyperlink" Target="https://pt.wikipedia.org/wiki/Cap%C3%A3o_Bonito_do_Sul" TargetMode="External"/><Relationship Id="rId453" Type="http://schemas.openxmlformats.org/officeDocument/2006/relationships/hyperlink" Target="https://pt.wikipedia.org/wiki/Microrregi%C3%A3o_de_Frederico_Westphalen" TargetMode="External"/><Relationship Id="rId660" Type="http://schemas.openxmlformats.org/officeDocument/2006/relationships/hyperlink" Target="https://pt.wikipedia.org/wiki/Microrregi%C3%A3o_de_Cruz_Alta" TargetMode="External"/><Relationship Id="rId898" Type="http://schemas.openxmlformats.org/officeDocument/2006/relationships/hyperlink" Target="https://pt.wikipedia.org/wiki/Mesorregi%C3%A3o_do_Nordeste_Rio-Grandense" TargetMode="External"/><Relationship Id="rId1083" Type="http://schemas.openxmlformats.org/officeDocument/2006/relationships/hyperlink" Target="https://pt.wikipedia.org/wiki/Santa_B%C3%A1rbara_do_Sul" TargetMode="External"/><Relationship Id="rId1290" Type="http://schemas.openxmlformats.org/officeDocument/2006/relationships/hyperlink" Target="https://pt.wikipedia.org/wiki/Sert%C3%A3o_(Rio_Grande_do_Sul)" TargetMode="External"/><Relationship Id="rId1304" Type="http://schemas.openxmlformats.org/officeDocument/2006/relationships/hyperlink" Target="https://pt.wikipedia.org/wiki/Mesorregi%C3%A3o_do_Centro_Ocidental_Rio-Grandense" TargetMode="External"/><Relationship Id="rId106" Type="http://schemas.openxmlformats.org/officeDocument/2006/relationships/hyperlink" Target="https://pt.wikipedia.org/wiki/Microrregi%C3%A3o_de_Tr%C3%AAs_Passos" TargetMode="External"/><Relationship Id="rId313" Type="http://schemas.openxmlformats.org/officeDocument/2006/relationships/hyperlink" Target="https://pt.wikipedia.org/wiki/Microrregi%C3%A3o_de_S%C3%A3o_Jer%C3%B4nimo" TargetMode="External"/><Relationship Id="rId758" Type="http://schemas.openxmlformats.org/officeDocument/2006/relationships/hyperlink" Target="https://pt.wikipedia.org/wiki/Maximiliano_de_Almeida" TargetMode="External"/><Relationship Id="rId965" Type="http://schemas.openxmlformats.org/officeDocument/2006/relationships/hyperlink" Target="https://pt.wikipedia.org/wiki/Mesorregi%C3%A3o_do_Noroeste_Rio-Grandense" TargetMode="External"/><Relationship Id="rId1150" Type="http://schemas.openxmlformats.org/officeDocument/2006/relationships/hyperlink" Target="https://pt.wikipedia.org/wiki/Microrregi%C3%A3o_de_Passo_Fundo" TargetMode="External"/><Relationship Id="rId1388" Type="http://schemas.openxmlformats.org/officeDocument/2006/relationships/hyperlink" Target="https://pt.wikipedia.org/wiki/Mesorregi%C3%A3o_do_Noroeste_Rio-Grandense" TargetMode="External"/><Relationship Id="rId10" Type="http://schemas.openxmlformats.org/officeDocument/2006/relationships/hyperlink" Target="https://pt.wikipedia.org/wiki/Microrregi%C3%A3o_de_Restinga_Seca" TargetMode="External"/><Relationship Id="rId94" Type="http://schemas.openxmlformats.org/officeDocument/2006/relationships/hyperlink" Target="https://pt.wikipedia.org/wiki/Microrregi%C3%A3o_de_Os%C3%B3rio" TargetMode="External"/><Relationship Id="rId397" Type="http://schemas.openxmlformats.org/officeDocument/2006/relationships/hyperlink" Target="https://pt.wikipedia.org/wiki/Mesorregi%C3%A3o_Metropolitana_de_Porto_Alegre" TargetMode="External"/><Relationship Id="rId520" Type="http://schemas.openxmlformats.org/officeDocument/2006/relationships/hyperlink" Target="https://pt.wikipedia.org/wiki/Mesorregi%C3%A3o_do_Noroeste_Rio-Grandense" TargetMode="External"/><Relationship Id="rId618" Type="http://schemas.openxmlformats.org/officeDocument/2006/relationships/hyperlink" Target="https://pt.wikipedia.org/wiki/Microrregi%C3%A3o_de_Santa_Rosa" TargetMode="External"/><Relationship Id="rId825" Type="http://schemas.openxmlformats.org/officeDocument/2006/relationships/hyperlink" Target="https://pt.wikipedia.org/wiki/Microrregi%C3%A3o_de_Lajeado-Estrela" TargetMode="External"/><Relationship Id="rId1248" Type="http://schemas.openxmlformats.org/officeDocument/2006/relationships/hyperlink" Target="https://pt.wikipedia.org/wiki/S%C3%A3o_Val%C3%A9rio_do_Sul" TargetMode="External"/><Relationship Id="rId1455" Type="http://schemas.openxmlformats.org/officeDocument/2006/relationships/hyperlink" Target="https://pt.wikipedia.org/wiki/Viam%C3%A3o" TargetMode="External"/><Relationship Id="rId257" Type="http://schemas.openxmlformats.org/officeDocument/2006/relationships/hyperlink" Target="https://pt.wikipedia.org/wiki/Mesorregi%C3%A3o_do_Sudeste_Rio-Grandense" TargetMode="External"/><Relationship Id="rId464" Type="http://schemas.openxmlformats.org/officeDocument/2006/relationships/hyperlink" Target="https://pt.wikipedia.org/wiki/Esta%C3%A7%C3%A3o_(Rio_Grande_do_Sul)" TargetMode="External"/><Relationship Id="rId1010" Type="http://schemas.openxmlformats.org/officeDocument/2006/relationships/hyperlink" Target="https://pt.wikipedia.org/wiki/Mesorregi%C3%A3o_do_Sudoeste_Rio-Grandense" TargetMode="External"/><Relationship Id="rId1094" Type="http://schemas.openxmlformats.org/officeDocument/2006/relationships/hyperlink" Target="https://pt.wikipedia.org/wiki/Mesorregi%C3%A3o_do_Centro_Oriental_Rio-Grandense" TargetMode="External"/><Relationship Id="rId1108" Type="http://schemas.openxmlformats.org/officeDocument/2006/relationships/hyperlink" Target="https://pt.wikipedia.org/wiki/Microrregi%C3%A3o_de_Caxias_do_Sul" TargetMode="External"/><Relationship Id="rId1315" Type="http://schemas.openxmlformats.org/officeDocument/2006/relationships/hyperlink" Target="https://pt.wikipedia.org/wiki/Microrregi%C3%A3o_de_Lajeado-Estrela" TargetMode="External"/><Relationship Id="rId117" Type="http://schemas.openxmlformats.org/officeDocument/2006/relationships/hyperlink" Target="https://pt.wikipedia.org/wiki/Barra_Funda" TargetMode="External"/><Relationship Id="rId671" Type="http://schemas.openxmlformats.org/officeDocument/2006/relationships/hyperlink" Target="https://pt.wikipedia.org/wiki/Jaquirana" TargetMode="External"/><Relationship Id="rId769" Type="http://schemas.openxmlformats.org/officeDocument/2006/relationships/hyperlink" Target="https://pt.wikipedia.org/wiki/Mesorregi%C3%A3o_do_Nordeste_Rio-Grandense" TargetMode="External"/><Relationship Id="rId976" Type="http://schemas.openxmlformats.org/officeDocument/2006/relationships/hyperlink" Target="https://pt.wikipedia.org/wiki/Microrregi%C3%A3o_de_Montenegro" TargetMode="External"/><Relationship Id="rId1399" Type="http://schemas.openxmlformats.org/officeDocument/2006/relationships/hyperlink" Target="https://pt.wikipedia.org/wiki/Microrregi%C3%A3o_de_Sananduva" TargetMode="External"/><Relationship Id="rId324" Type="http://schemas.openxmlformats.org/officeDocument/2006/relationships/hyperlink" Target="https://pt.wikipedia.org/wiki/Chuvisca" TargetMode="External"/><Relationship Id="rId531" Type="http://schemas.openxmlformats.org/officeDocument/2006/relationships/hyperlink" Target="https://pt.wikipedia.org/wiki/Microrregi%C3%A3o_de_S%C3%A3o_Jer%C3%B4nimo" TargetMode="External"/><Relationship Id="rId629" Type="http://schemas.openxmlformats.org/officeDocument/2006/relationships/hyperlink" Target="https://pt.wikipedia.org/wiki/Ira%C3%AD_(Rio_Grande_do_Sul)" TargetMode="External"/><Relationship Id="rId1161" Type="http://schemas.openxmlformats.org/officeDocument/2006/relationships/hyperlink" Target="https://pt.wikipedia.org/wiki/S%C3%A3o_Jer%C3%B4nimo_(Rio_Grande_do_Sul)" TargetMode="External"/><Relationship Id="rId1259" Type="http://schemas.openxmlformats.org/officeDocument/2006/relationships/hyperlink" Target="https://pt.wikipedia.org/wiki/Mesorregi%C3%A3o_Metropolitana_de_Porto_Alegre" TargetMode="External"/><Relationship Id="rId1466" Type="http://schemas.openxmlformats.org/officeDocument/2006/relationships/hyperlink" Target="https://pt.wikipedia.org/wiki/Mesorregi%C3%A3o_do_Nordeste_Rio-Grandense" TargetMode="External"/><Relationship Id="rId836" Type="http://schemas.openxmlformats.org/officeDocument/2006/relationships/hyperlink" Target="https://pt.wikipedia.org/wiki/Nova_P%C3%A1dua" TargetMode="External"/><Relationship Id="rId1021" Type="http://schemas.openxmlformats.org/officeDocument/2006/relationships/hyperlink" Target="https://pt.wikipedia.org/wiki/Microrregi%C3%A3o_de_Tr%C3%AAs_Passos" TargetMode="External"/><Relationship Id="rId1119" Type="http://schemas.openxmlformats.org/officeDocument/2006/relationships/hyperlink" Target="https://pt.wikipedia.org/wiki/Santiago_(Rio_Grande_do_Sul)" TargetMode="External"/><Relationship Id="rId903" Type="http://schemas.openxmlformats.org/officeDocument/2006/relationships/hyperlink" Target="https://pt.wikipedia.org/wiki/Microrregi%C3%A3o_de_Montenegro" TargetMode="External"/><Relationship Id="rId1326" Type="http://schemas.openxmlformats.org/officeDocument/2006/relationships/hyperlink" Target="https://pt.wikipedia.org/wiki/Taquara_(Rio_Grande_do_Sul)" TargetMode="External"/><Relationship Id="rId32" Type="http://schemas.openxmlformats.org/officeDocument/2006/relationships/hyperlink" Target="https://pt.wikipedia.org/wiki/Mesorregi%C3%A3o_do_Noroeste_Rio-Grandense" TargetMode="External"/><Relationship Id="rId181" Type="http://schemas.openxmlformats.org/officeDocument/2006/relationships/hyperlink" Target="https://pt.wikipedia.org/wiki/Microrregi%C3%A3o_de_Santa_Maria" TargetMode="External"/><Relationship Id="rId279" Type="http://schemas.openxmlformats.org/officeDocument/2006/relationships/hyperlink" Target="https://pt.wikipedia.org/wiki/Casca_(Rio_Grande_do_Sul)" TargetMode="External"/><Relationship Id="rId486" Type="http://schemas.openxmlformats.org/officeDocument/2006/relationships/hyperlink" Target="https://pt.wikipedia.org/wiki/Microrregi%C3%A3o_de_Caxias_do_Sul" TargetMode="External"/><Relationship Id="rId693" Type="http://schemas.openxmlformats.org/officeDocument/2006/relationships/hyperlink" Target="https://pt.wikipedia.org/wiki/Microrregi%C3%A3o_de_Soledade" TargetMode="External"/><Relationship Id="rId139" Type="http://schemas.openxmlformats.org/officeDocument/2006/relationships/hyperlink" Target="https://pt.wikipedia.org/wiki/Microrregi%C3%A3o_de_Cruz_Alta" TargetMode="External"/><Relationship Id="rId346" Type="http://schemas.openxmlformats.org/officeDocument/2006/relationships/hyperlink" Target="https://pt.wikipedia.org/wiki/Mesorregi%C3%A3o_do_Centro_Oriental_Rio-Grandense" TargetMode="External"/><Relationship Id="rId553" Type="http://schemas.openxmlformats.org/officeDocument/2006/relationships/hyperlink" Target="https://pt.wikipedia.org/wiki/Mesorregi%C3%A3o_do_Centro_Oriental_Rio-Grandense" TargetMode="External"/><Relationship Id="rId760" Type="http://schemas.openxmlformats.org/officeDocument/2006/relationships/hyperlink" Target="https://pt.wikipedia.org/wiki/Mesorregi%C3%A3o_do_Noroeste_Rio-Grandense" TargetMode="External"/><Relationship Id="rId998" Type="http://schemas.openxmlformats.org/officeDocument/2006/relationships/hyperlink" Target="https://pt.wikipedia.org/wiki/Mesorregi%C3%A3o_Metropolitana_de_Porto_Alegre" TargetMode="External"/><Relationship Id="rId1183" Type="http://schemas.openxmlformats.org/officeDocument/2006/relationships/hyperlink" Target="https://pt.wikipedia.org/wiki/Microrregi%C3%A3o_de_Santa_Rosa" TargetMode="External"/><Relationship Id="rId1390" Type="http://schemas.openxmlformats.org/officeDocument/2006/relationships/hyperlink" Target="https://pt.wikipedia.org/wiki/Microrregi%C3%A3o_de_S%C3%A3o_Jer%C3%B4nimo" TargetMode="External"/><Relationship Id="rId206" Type="http://schemas.openxmlformats.org/officeDocument/2006/relationships/hyperlink" Target="https://pt.wikipedia.org/wiki/Mesorregi%C3%A3o_do_Nordeste_Rio-Grandense" TargetMode="External"/><Relationship Id="rId413" Type="http://schemas.openxmlformats.org/officeDocument/2006/relationships/hyperlink" Target="https://pt.wikipedia.org/wiki/Dona_Francisca" TargetMode="External"/><Relationship Id="rId858" Type="http://schemas.openxmlformats.org/officeDocument/2006/relationships/hyperlink" Target="https://pt.wikipedia.org/wiki/Microrregi%C3%A3o_de_Carazinho" TargetMode="External"/><Relationship Id="rId1043" Type="http://schemas.openxmlformats.org/officeDocument/2006/relationships/hyperlink" Target="https://pt.wikipedia.org/wiki/Mesorregi%C3%A3o_do_Centro_Oriental_Rio-Grandense" TargetMode="External"/><Relationship Id="rId1488" Type="http://schemas.openxmlformats.org/officeDocument/2006/relationships/hyperlink" Target="https://pt.wikipedia.org/wiki/Westf%C3%A1lia_(Brasil)" TargetMode="External"/><Relationship Id="rId620" Type="http://schemas.openxmlformats.org/officeDocument/2006/relationships/hyperlink" Target="https://pt.wikipedia.org/wiki/Inhacor%C3%A1" TargetMode="External"/><Relationship Id="rId718" Type="http://schemas.openxmlformats.org/officeDocument/2006/relationships/hyperlink" Target="https://pt.wikipedia.org/wiki/Mesorregi%C3%A3o_do_Noroeste_Rio-Grandense" TargetMode="External"/><Relationship Id="rId925" Type="http://schemas.openxmlformats.org/officeDocument/2006/relationships/hyperlink" Target="https://pt.wikipedia.org/wiki/Mesorregi%C3%A3o_do_Sudeste_Rio-Grandense" TargetMode="External"/><Relationship Id="rId1250" Type="http://schemas.openxmlformats.org/officeDocument/2006/relationships/hyperlink" Target="https://pt.wikipedia.org/wiki/Mesorregi%C3%A3o_do_Noroeste_Rio-Grandense" TargetMode="External"/><Relationship Id="rId1348" Type="http://schemas.openxmlformats.org/officeDocument/2006/relationships/hyperlink" Target="https://pt.wikipedia.org/wiki/Microrregi%C3%A3o_de_N%C3%A3o-Me-Toque" TargetMode="External"/><Relationship Id="rId1110" Type="http://schemas.openxmlformats.org/officeDocument/2006/relationships/hyperlink" Target="https://pt.wikipedia.org/wiki/Santa_Vit%C3%B3ria_do_Palmar" TargetMode="External"/><Relationship Id="rId1208" Type="http://schemas.openxmlformats.org/officeDocument/2006/relationships/hyperlink" Target="https://pt.wikipedia.org/wiki/Mesorregi%C3%A3o_do_Nordeste_Rio-Grandense" TargetMode="External"/><Relationship Id="rId1415" Type="http://schemas.openxmlformats.org/officeDocument/2006/relationships/hyperlink" Target="https://pt.wikipedia.org/wiki/Mesorregi%C3%A3o_do_Noroeste_Rio-Grandense" TargetMode="External"/><Relationship Id="rId54" Type="http://schemas.openxmlformats.org/officeDocument/2006/relationships/hyperlink" Target="https://pt.wikipedia.org/wiki/Arambar%C3%A9" TargetMode="External"/><Relationship Id="rId270" Type="http://schemas.openxmlformats.org/officeDocument/2006/relationships/hyperlink" Target="https://pt.wikipedia.org/wiki/Carazinho" TargetMode="External"/><Relationship Id="rId130" Type="http://schemas.openxmlformats.org/officeDocument/2006/relationships/hyperlink" Target="https://pt.wikipedia.org/wiki/Microrregi%C3%A3o_de_Caxias_do_Sul" TargetMode="External"/><Relationship Id="rId368" Type="http://schemas.openxmlformats.org/officeDocument/2006/relationships/hyperlink" Target="https://pt.wikipedia.org/wiki/Cristal_(Rio_Grande_do_Sul)" TargetMode="External"/><Relationship Id="rId575" Type="http://schemas.openxmlformats.org/officeDocument/2006/relationships/hyperlink" Target="https://pt.wikipedia.org/wiki/Herveiras" TargetMode="External"/><Relationship Id="rId782" Type="http://schemas.openxmlformats.org/officeDocument/2006/relationships/hyperlink" Target="https://pt.wikipedia.org/wiki/Morrinhos_do_Sul" TargetMode="External"/><Relationship Id="rId228" Type="http://schemas.openxmlformats.org/officeDocument/2006/relationships/hyperlink" Target="https://pt.wikipedia.org/wiki/C%C3%A2ndido_God%C3%B3i" TargetMode="External"/><Relationship Id="rId435" Type="http://schemas.openxmlformats.org/officeDocument/2006/relationships/hyperlink" Target="https://pt.wikipedia.org/wiki/Microrregi%C3%A3o_de_Erechim" TargetMode="External"/><Relationship Id="rId642" Type="http://schemas.openxmlformats.org/officeDocument/2006/relationships/hyperlink" Target="https://pt.wikipedia.org/wiki/Microrregi%C3%A3o_da_Campanha_Ocidental" TargetMode="External"/><Relationship Id="rId1065" Type="http://schemas.openxmlformats.org/officeDocument/2006/relationships/hyperlink" Target="https://pt.wikipedia.org/wiki/Sagrada_Fam%C3%ADlia_(Rio_Grande_do_Sul)" TargetMode="External"/><Relationship Id="rId1272" Type="http://schemas.openxmlformats.org/officeDocument/2006/relationships/hyperlink" Target="https://pt.wikipedia.org/wiki/Segredo_(Rio_Grande_do_Sul)" TargetMode="External"/><Relationship Id="rId502" Type="http://schemas.openxmlformats.org/officeDocument/2006/relationships/hyperlink" Target="https://pt.wikipedia.org/wiki/Mesorregi%C3%A3o_do_Nordeste_Rio-Grandense" TargetMode="External"/><Relationship Id="rId947" Type="http://schemas.openxmlformats.org/officeDocument/2006/relationships/hyperlink" Target="https://pt.wikipedia.org/wiki/Pinheirinho_do_Vale" TargetMode="External"/><Relationship Id="rId1132" Type="http://schemas.openxmlformats.org/officeDocument/2006/relationships/hyperlink" Target="https://pt.wikipedia.org/wiki/Microrregi%C3%A3o_de_Passo_Fundo" TargetMode="External"/><Relationship Id="rId76" Type="http://schemas.openxmlformats.org/officeDocument/2006/relationships/hyperlink" Target="https://pt.wikipedia.org/wiki/Microrregi%C3%A3o_de_S%C3%A3o_Jer%C3%B4nimo" TargetMode="External"/><Relationship Id="rId807" Type="http://schemas.openxmlformats.org/officeDocument/2006/relationships/hyperlink" Target="https://pt.wikipedia.org/wiki/Microrregi%C3%A3o_de_Passo_Fundo" TargetMode="External"/><Relationship Id="rId1437" Type="http://schemas.openxmlformats.org/officeDocument/2006/relationships/hyperlink" Target="https://pt.wikipedia.org/wiki/Vanini" TargetMode="External"/><Relationship Id="rId292" Type="http://schemas.openxmlformats.org/officeDocument/2006/relationships/hyperlink" Target="https://pt.wikipedia.org/wiki/Microrregi%C3%A3o_de_Erechim" TargetMode="External"/><Relationship Id="rId597" Type="http://schemas.openxmlformats.org/officeDocument/2006/relationships/hyperlink" Target="https://pt.wikipedia.org/wiki/Microrregi%C3%A3o_de_Soledade" TargetMode="External"/><Relationship Id="rId152" Type="http://schemas.openxmlformats.org/officeDocument/2006/relationships/hyperlink" Target="https://pt.wikipedia.org/wiki/Mesorregi%C3%A3o_Metropolitana_de_Porto_Alegre" TargetMode="External"/><Relationship Id="rId457" Type="http://schemas.openxmlformats.org/officeDocument/2006/relationships/hyperlink" Target="https://pt.wikipedia.org/wiki/Mesorregi%C3%A3o_do_Nordeste_Rio-Grandense" TargetMode="External"/><Relationship Id="rId1087" Type="http://schemas.openxmlformats.org/officeDocument/2006/relationships/hyperlink" Target="https://pt.wikipedia.org/wiki/Microrregi%C3%A3o_de_Passo_Fundo" TargetMode="External"/><Relationship Id="rId1294" Type="http://schemas.openxmlformats.org/officeDocument/2006/relationships/hyperlink" Target="https://pt.wikipedia.org/wiki/Microrregi%C3%A3o_de_Porto_Alegre" TargetMode="External"/><Relationship Id="rId664" Type="http://schemas.openxmlformats.org/officeDocument/2006/relationships/hyperlink" Target="https://pt.wikipedia.org/wiki/Mesorregi%C3%A3o_do_Noroeste_Rio-Grandense" TargetMode="External"/><Relationship Id="rId871" Type="http://schemas.openxmlformats.org/officeDocument/2006/relationships/hyperlink" Target="https://pt.wikipedia.org/wiki/Mesorregi%C3%A3o_do_Noroeste_Rio-Grandense" TargetMode="External"/><Relationship Id="rId969" Type="http://schemas.openxmlformats.org/officeDocument/2006/relationships/hyperlink" Target="https://pt.wikipedia.org/wiki/Pont%C3%A3o" TargetMode="External"/><Relationship Id="rId317" Type="http://schemas.openxmlformats.org/officeDocument/2006/relationships/hyperlink" Target="https://pt.wikipedia.org/wiki/Mesorregi%C3%A3o_do_Noroeste_Rio-Grandense" TargetMode="External"/><Relationship Id="rId524" Type="http://schemas.openxmlformats.org/officeDocument/2006/relationships/hyperlink" Target="https://pt.wikipedia.org/wiki/Garruchos" TargetMode="External"/><Relationship Id="rId731" Type="http://schemas.openxmlformats.org/officeDocument/2006/relationships/hyperlink" Target="https://pt.wikipedia.org/wiki/Marau" TargetMode="External"/><Relationship Id="rId1154" Type="http://schemas.openxmlformats.org/officeDocument/2006/relationships/hyperlink" Target="https://pt.wikipedia.org/wiki/Mesorregi%C3%A3o_do_Sudoeste_Rio-Grandense" TargetMode="External"/><Relationship Id="rId1361" Type="http://schemas.openxmlformats.org/officeDocument/2006/relationships/hyperlink" Target="https://pt.wikipedia.org/wiki/Mesorregi%C3%A3o_Metropolitana_de_Porto_Alegre" TargetMode="External"/><Relationship Id="rId1459" Type="http://schemas.openxmlformats.org/officeDocument/2006/relationships/hyperlink" Target="https://pt.wikipedia.org/wiki/Microrregi%C3%A3o_de_Frederico_Westphalen" TargetMode="External"/><Relationship Id="rId98" Type="http://schemas.openxmlformats.org/officeDocument/2006/relationships/hyperlink" Target="https://pt.wikipedia.org/wiki/Mesorregi%C3%A3o_Metropolitana_de_Porto_Alegre" TargetMode="External"/><Relationship Id="rId829" Type="http://schemas.openxmlformats.org/officeDocument/2006/relationships/hyperlink" Target="https://pt.wikipedia.org/wiki/Mesorregi%C3%A3o_do_Noroeste_Rio-Grandense" TargetMode="External"/><Relationship Id="rId1014" Type="http://schemas.openxmlformats.org/officeDocument/2006/relationships/hyperlink" Target="https://pt.wikipedia.org/wiki/Quevedos" TargetMode="External"/><Relationship Id="rId1221" Type="http://schemas.openxmlformats.org/officeDocument/2006/relationships/hyperlink" Target="https://pt.wikipedia.org/wiki/S%C3%A3o_Paulo_das_Miss%C3%B5es" TargetMode="External"/><Relationship Id="rId1319" Type="http://schemas.openxmlformats.org/officeDocument/2006/relationships/hyperlink" Target="https://pt.wikipedia.org/wiki/Mesorregi%C3%A3o_do_Noroeste_Rio-Grandense" TargetMode="External"/><Relationship Id="rId25" Type="http://schemas.openxmlformats.org/officeDocument/2006/relationships/hyperlink" Target="https://pt.wikipedia.org/wiki/Microrregi%C3%A3o_de_Carazinho" TargetMode="External"/><Relationship Id="rId174" Type="http://schemas.openxmlformats.org/officeDocument/2006/relationships/hyperlink" Target="https://pt.wikipedia.org/wiki/Buti%C3%A1_(Rio_Grande_do_Sul)" TargetMode="External"/><Relationship Id="rId381" Type="http://schemas.openxmlformats.org/officeDocument/2006/relationships/hyperlink" Target="https://pt.wikipedia.org/wiki/Microrregi%C3%A3o_de_Lajeado-Estrela" TargetMode="External"/><Relationship Id="rId241" Type="http://schemas.openxmlformats.org/officeDocument/2006/relationships/hyperlink" Target="https://pt.wikipedia.org/wiki/Microrregi%C3%A3o_de_Porto_Alegre" TargetMode="External"/><Relationship Id="rId479" Type="http://schemas.openxmlformats.org/officeDocument/2006/relationships/hyperlink" Target="https://pt.wikipedia.org/wiki/Eug%C3%AAnio_de_Castro_(Rio_Grande_do_Sul)" TargetMode="External"/><Relationship Id="rId686" Type="http://schemas.openxmlformats.org/officeDocument/2006/relationships/hyperlink" Target="https://pt.wikipedia.org/wiki/Lagoa_dos_Tr%C3%AAs_Cantos" TargetMode="External"/><Relationship Id="rId893" Type="http://schemas.openxmlformats.org/officeDocument/2006/relationships/hyperlink" Target="https://pt.wikipedia.org/wiki/Pantano_Grande" TargetMode="External"/><Relationship Id="rId339" Type="http://schemas.openxmlformats.org/officeDocument/2006/relationships/hyperlink" Target="https://pt.wikipedia.org/wiki/Microrregi%C3%A3o_de_Iju%C3%AD" TargetMode="External"/><Relationship Id="rId546" Type="http://schemas.openxmlformats.org/officeDocument/2006/relationships/hyperlink" Target="https://pt.wikipedia.org/wiki/Microrregi%C3%A3o_de_Gramado-Canela" TargetMode="External"/><Relationship Id="rId753" Type="http://schemas.openxmlformats.org/officeDocument/2006/relationships/hyperlink" Target="https://pt.wikipedia.org/wiki/Microrregi%C3%A3o_de_Santa_Cruz_do_Sul" TargetMode="External"/><Relationship Id="rId1176" Type="http://schemas.openxmlformats.org/officeDocument/2006/relationships/hyperlink" Target="https://pt.wikipedia.org/wiki/S%C3%A3o_Jos%C3%A9_do_Herval" TargetMode="External"/><Relationship Id="rId1383" Type="http://schemas.openxmlformats.org/officeDocument/2006/relationships/hyperlink" Target="https://pt.wikipedia.org/wiki/Tr%C3%AAs_Passos" TargetMode="External"/><Relationship Id="rId101" Type="http://schemas.openxmlformats.org/officeDocument/2006/relationships/hyperlink" Target="https://pt.wikipedia.org/wiki/Mesorregi%C3%A3o_do_Noroeste_Rio-Grandense" TargetMode="External"/><Relationship Id="rId406" Type="http://schemas.openxmlformats.org/officeDocument/2006/relationships/hyperlink" Target="https://pt.wikipedia.org/wiki/Mesorregi%C3%A3o_Metropolitana_de_Porto_Alegre" TargetMode="External"/><Relationship Id="rId960" Type="http://schemas.openxmlformats.org/officeDocument/2006/relationships/hyperlink" Target="https://pt.wikipedia.org/wiki/Piratini" TargetMode="External"/><Relationship Id="rId1036" Type="http://schemas.openxmlformats.org/officeDocument/2006/relationships/hyperlink" Target="https://pt.wikipedia.org/wiki/Microrregi%C3%A3o_de_Cachoeira_do_Sul" TargetMode="External"/><Relationship Id="rId1243" Type="http://schemas.openxmlformats.org/officeDocument/2006/relationships/hyperlink" Target="https://pt.wikipedia.org/wiki/Microrregi%C3%A3o_de_Erechim" TargetMode="External"/><Relationship Id="rId613" Type="http://schemas.openxmlformats.org/officeDocument/2006/relationships/hyperlink" Target="https://pt.wikipedia.org/wiki/Mesorregi%C3%A3o_Metropolitana_de_Porto_Alegre" TargetMode="External"/><Relationship Id="rId820" Type="http://schemas.openxmlformats.org/officeDocument/2006/relationships/hyperlink" Target="https://pt.wikipedia.org/wiki/Mesorregi%C3%A3o_do_Nordeste_Rio-Grandense" TargetMode="External"/><Relationship Id="rId918" Type="http://schemas.openxmlformats.org/officeDocument/2006/relationships/hyperlink" Target="https://pt.wikipedia.org/wiki/Microrregi%C3%A3o_de_Erechim" TargetMode="External"/><Relationship Id="rId1450" Type="http://schemas.openxmlformats.org/officeDocument/2006/relationships/hyperlink" Target="https://pt.wikipedia.org/wiki/Microrregi%C3%A3o_de_Lajeado-Estrela" TargetMode="External"/><Relationship Id="rId1103" Type="http://schemas.openxmlformats.org/officeDocument/2006/relationships/hyperlink" Target="https://pt.wikipedia.org/wiki/Mesorregi%C3%A3o_Metropolitana_de_Porto_Alegre" TargetMode="External"/><Relationship Id="rId1310" Type="http://schemas.openxmlformats.org/officeDocument/2006/relationships/hyperlink" Target="https://pt.wikipedia.org/wiki/Mesorregi%C3%A3o_do_Centro_Oriental_Rio-Grandense" TargetMode="External"/><Relationship Id="rId1408" Type="http://schemas.openxmlformats.org/officeDocument/2006/relationships/hyperlink" Target="https://pt.wikipedia.org/wiki/Microrregi%C3%A3o_de_Santa_Rosa" TargetMode="External"/><Relationship Id="rId47" Type="http://schemas.openxmlformats.org/officeDocument/2006/relationships/hyperlink" Target="https://pt.wikipedia.org/wiki/Mesorregi%C3%A3o_do_Nordeste_Rio-Grandense" TargetMode="External"/><Relationship Id="rId196" Type="http://schemas.openxmlformats.org/officeDocument/2006/relationships/hyperlink" Target="https://pt.wikipedia.org/wiki/Microrregi%C3%A3o_de_Frederico_Westphalen" TargetMode="External"/><Relationship Id="rId263" Type="http://schemas.openxmlformats.org/officeDocument/2006/relationships/hyperlink" Target="https://pt.wikipedia.org/wiki/Mesorregi%C3%A3o_do_Centro_Oriental_Rio-Grandense" TargetMode="External"/><Relationship Id="rId470" Type="http://schemas.openxmlformats.org/officeDocument/2006/relationships/hyperlink" Target="https://pt.wikipedia.org/wiki/Esteio" TargetMode="External"/><Relationship Id="rId123" Type="http://schemas.openxmlformats.org/officeDocument/2006/relationships/hyperlink" Target="https://pt.wikipedia.org/wiki/Barros_Cassal" TargetMode="External"/><Relationship Id="rId330" Type="http://schemas.openxmlformats.org/officeDocument/2006/relationships/hyperlink" Target="https://pt.wikipedia.org/wiki/Microrregi%C3%A3o_de_Passo_Fundo" TargetMode="External"/><Relationship Id="rId568" Type="http://schemas.openxmlformats.org/officeDocument/2006/relationships/hyperlink" Target="https://pt.wikipedia.org/wiki/Mesorregi%C3%A3o_do_Noroeste_Rio-Grandense" TargetMode="External"/><Relationship Id="rId775" Type="http://schemas.openxmlformats.org/officeDocument/2006/relationships/hyperlink" Target="https://pt.wikipedia.org/wiki/Mesorregi%C3%A3o_do_Nordeste_Rio-Grandense" TargetMode="External"/><Relationship Id="rId982" Type="http://schemas.openxmlformats.org/officeDocument/2006/relationships/hyperlink" Target="https://pt.wikipedia.org/wiki/Microrregi%C3%A3o_de_Santa_Rosa" TargetMode="External"/><Relationship Id="rId1198" Type="http://schemas.openxmlformats.org/officeDocument/2006/relationships/hyperlink" Target="https://pt.wikipedia.org/wiki/Microrregi%C3%A3o_de_Porto_Alegre" TargetMode="External"/><Relationship Id="rId428" Type="http://schemas.openxmlformats.org/officeDocument/2006/relationships/hyperlink" Target="https://pt.wikipedia.org/wiki/Encruzilhada_do_Sul" TargetMode="External"/><Relationship Id="rId635" Type="http://schemas.openxmlformats.org/officeDocument/2006/relationships/hyperlink" Target="https://pt.wikipedia.org/wiki/Itacurubi" TargetMode="External"/><Relationship Id="rId842" Type="http://schemas.openxmlformats.org/officeDocument/2006/relationships/hyperlink" Target="https://pt.wikipedia.org/wiki/Nova_Petr%C3%B3polis" TargetMode="External"/><Relationship Id="rId1058" Type="http://schemas.openxmlformats.org/officeDocument/2006/relationships/hyperlink" Target="https://pt.wikipedia.org/wiki/Mesorregi%C3%A3o_do_Noroeste_Rio-Grandense" TargetMode="External"/><Relationship Id="rId1265" Type="http://schemas.openxmlformats.org/officeDocument/2006/relationships/hyperlink" Target="https://pt.wikipedia.org/wiki/Mesorregi%C3%A3o_do_Noroeste_Rio-Grandense" TargetMode="External"/><Relationship Id="rId1472" Type="http://schemas.openxmlformats.org/officeDocument/2006/relationships/hyperlink" Target="https://pt.wikipedia.org/wiki/Mesorregi%C3%A3o_do_Noroeste_Rio-Grandense" TargetMode="External"/><Relationship Id="rId702" Type="http://schemas.openxmlformats.org/officeDocument/2006/relationships/hyperlink" Target="https://pt.wikipedia.org/wiki/Microrregi%C3%A3o_da_Campanha_Meridional" TargetMode="External"/><Relationship Id="rId1125" Type="http://schemas.openxmlformats.org/officeDocument/2006/relationships/hyperlink" Target="https://pt.wikipedia.org/wiki/Santo_Ant%C3%B4nio_da_Patrulha" TargetMode="External"/><Relationship Id="rId1332" Type="http://schemas.openxmlformats.org/officeDocument/2006/relationships/hyperlink" Target="https://pt.wikipedia.org/wiki/Taquaru%C3%A7u_do_Sul" TargetMode="External"/><Relationship Id="rId69" Type="http://schemas.openxmlformats.org/officeDocument/2006/relationships/hyperlink" Target="https://pt.wikipedia.org/wiki/Arroio_do_Sal" TargetMode="External"/><Relationship Id="rId285" Type="http://schemas.openxmlformats.org/officeDocument/2006/relationships/hyperlink" Target="https://pt.wikipedia.org/wiki/Catu%C3%ADpe" TargetMode="External"/><Relationship Id="rId492" Type="http://schemas.openxmlformats.org/officeDocument/2006/relationships/hyperlink" Target="https://pt.wikipedia.org/wiki/Microrregi%C3%A3o_de_Erechim" TargetMode="External"/><Relationship Id="rId797" Type="http://schemas.openxmlformats.org/officeDocument/2006/relationships/hyperlink" Target="https://pt.wikipedia.org/wiki/Muitos_Cap%C3%B5es" TargetMode="External"/><Relationship Id="rId145" Type="http://schemas.openxmlformats.org/officeDocument/2006/relationships/hyperlink" Target="https://pt.wikipedia.org/wiki/Microrregi%C3%A3o_de_Caxias_do_Sul" TargetMode="External"/><Relationship Id="rId352" Type="http://schemas.openxmlformats.org/officeDocument/2006/relationships/hyperlink" Target="https://pt.wikipedia.org/wiki/Mesorregi%C3%A3o_do_Noroeste_Rio-Grandense" TargetMode="External"/><Relationship Id="rId1287" Type="http://schemas.openxmlformats.org/officeDocument/2006/relationships/hyperlink" Target="https://pt.wikipedia.org/wiki/S%C3%A9rio" TargetMode="External"/><Relationship Id="rId212" Type="http://schemas.openxmlformats.org/officeDocument/2006/relationships/hyperlink" Target="https://pt.wikipedia.org/wiki/Mesorregi%C3%A3o_do_Noroeste_Rio-Grandense" TargetMode="External"/><Relationship Id="rId657" Type="http://schemas.openxmlformats.org/officeDocument/2006/relationships/hyperlink" Target="https://pt.wikipedia.org/wiki/Microrregi%C3%A3o_de_Carazinho" TargetMode="External"/><Relationship Id="rId864" Type="http://schemas.openxmlformats.org/officeDocument/2006/relationships/hyperlink" Target="https://pt.wikipedia.org/wiki/Microrregi%C3%A3o_de_Porto_Alegre" TargetMode="External"/><Relationship Id="rId517" Type="http://schemas.openxmlformats.org/officeDocument/2006/relationships/hyperlink" Target="https://pt.wikipedia.org/wiki/Mesorregi%C3%A3o_do_Noroeste_Rio-Grandense" TargetMode="External"/><Relationship Id="rId724" Type="http://schemas.openxmlformats.org/officeDocument/2006/relationships/hyperlink" Target="https://pt.wikipedia.org/wiki/Mesorregi%C3%A3o_do_Sudoeste_Rio-Grandense" TargetMode="External"/><Relationship Id="rId931" Type="http://schemas.openxmlformats.org/officeDocument/2006/relationships/hyperlink" Target="https://pt.wikipedia.org/wiki/Mesorregi%C3%A3o_do_Noroeste_Rio-Grandense" TargetMode="External"/><Relationship Id="rId1147" Type="http://schemas.openxmlformats.org/officeDocument/2006/relationships/hyperlink" Target="https://pt.wikipedia.org/wiki/Microrregi%C3%A3o_da_Campanha_Ocidental" TargetMode="External"/><Relationship Id="rId1354" Type="http://schemas.openxmlformats.org/officeDocument/2006/relationships/hyperlink" Target="https://pt.wikipedia.org/wiki/Microrregi%C3%A3o_de_Santa_Maria" TargetMode="External"/><Relationship Id="rId60" Type="http://schemas.openxmlformats.org/officeDocument/2006/relationships/hyperlink" Target="https://pt.wikipedia.org/wiki/Aratiba" TargetMode="External"/><Relationship Id="rId1007" Type="http://schemas.openxmlformats.org/officeDocument/2006/relationships/hyperlink" Target="https://pt.wikipedia.org/wiki/Mesorregi%C3%A3o_do_Nordeste_Rio-Grandense" TargetMode="External"/><Relationship Id="rId1214" Type="http://schemas.openxmlformats.org/officeDocument/2006/relationships/hyperlink" Target="https://pt.wikipedia.org/wiki/Mesorregi%C3%A3o_do_Centro_Ocidental_Rio-Grandense" TargetMode="External"/><Relationship Id="rId1421" Type="http://schemas.openxmlformats.org/officeDocument/2006/relationships/hyperlink" Target="https://pt.wikipedia.org/wiki/Mesorregi%C3%A3o_do_Centro_Ocidental_Rio-Grandense" TargetMode="External"/><Relationship Id="rId18" Type="http://schemas.openxmlformats.org/officeDocument/2006/relationships/hyperlink" Target="https://pt.wikipedia.org/wiki/Alegrete_(Rio_Grande_do_Sul)" TargetMode="External"/><Relationship Id="rId167" Type="http://schemas.openxmlformats.org/officeDocument/2006/relationships/hyperlink" Target="https://pt.wikipedia.org/wiki/Mesorregi%C3%A3o_do_Noroeste_Rio-Grandense" TargetMode="External"/><Relationship Id="rId374" Type="http://schemas.openxmlformats.org/officeDocument/2006/relationships/hyperlink" Target="https://pt.wikipedia.org/wiki/Cruz_Alta_(Rio_Grande_do_Sul)" TargetMode="External"/><Relationship Id="rId581" Type="http://schemas.openxmlformats.org/officeDocument/2006/relationships/hyperlink" Target="https://pt.wikipedia.org/wiki/Hulha_Negra" TargetMode="External"/><Relationship Id="rId234" Type="http://schemas.openxmlformats.org/officeDocument/2006/relationships/hyperlink" Target="https://pt.wikipedia.org/wiki/Canela_(Rio_Grande_do_Sul)" TargetMode="External"/><Relationship Id="rId679" Type="http://schemas.openxmlformats.org/officeDocument/2006/relationships/hyperlink" Target="https://pt.wikipedia.org/wiki/Mesorregi%C3%A3o_do_Noroeste_Rio-Grandense" TargetMode="External"/><Relationship Id="rId886" Type="http://schemas.openxmlformats.org/officeDocument/2006/relationships/hyperlink" Target="https://pt.wikipedia.org/wiki/Mesorregi%C3%A3o_do_Noroeste_Rio-Grandense" TargetMode="External"/><Relationship Id="rId2" Type="http://schemas.openxmlformats.org/officeDocument/2006/relationships/hyperlink" Target="https://pt.wikipedia.org/wiki/Lista_de_munic%C3%ADpios_do_Rio_Grande_do_Sul_por_popula%C3%A7%C3%A3o" TargetMode="External"/><Relationship Id="rId441" Type="http://schemas.openxmlformats.org/officeDocument/2006/relationships/hyperlink" Target="https://pt.wikipedia.org/wiki/Microrregi%C3%A3o_de_Erechim" TargetMode="External"/><Relationship Id="rId539" Type="http://schemas.openxmlformats.org/officeDocument/2006/relationships/hyperlink" Target="https://pt.wikipedia.org/wiki/Giru%C3%A1" TargetMode="External"/><Relationship Id="rId746" Type="http://schemas.openxmlformats.org/officeDocument/2006/relationships/hyperlink" Target="https://pt.wikipedia.org/wiki/Mata_(Rio_Grande_do_Sul)" TargetMode="External"/><Relationship Id="rId1071" Type="http://schemas.openxmlformats.org/officeDocument/2006/relationships/hyperlink" Target="https://pt.wikipedia.org/wiki/Salto_do_Jacu%C3%AD" TargetMode="External"/><Relationship Id="rId1169" Type="http://schemas.openxmlformats.org/officeDocument/2006/relationships/hyperlink" Target="https://pt.wikipedia.org/wiki/Mesorregi%C3%A3o_do_Centro_Ocidental_Rio-Grandense" TargetMode="External"/><Relationship Id="rId1376" Type="http://schemas.openxmlformats.org/officeDocument/2006/relationships/hyperlink" Target="https://pt.wikipedia.org/wiki/Mesorregi%C3%A3o_do_Noroeste_Rio-Grandense" TargetMode="External"/><Relationship Id="rId301" Type="http://schemas.openxmlformats.org/officeDocument/2006/relationships/hyperlink" Target="https://pt.wikipedia.org/wiki/Microrregi%C3%A3o_de_Carazinho" TargetMode="External"/><Relationship Id="rId953" Type="http://schemas.openxmlformats.org/officeDocument/2006/relationships/hyperlink" Target="https://pt.wikipedia.org/wiki/Pinto_Bandeira" TargetMode="External"/><Relationship Id="rId1029" Type="http://schemas.openxmlformats.org/officeDocument/2006/relationships/hyperlink" Target="https://pt.wikipedia.org/wiki/Rio_dos_%C3%8Dndios" TargetMode="External"/><Relationship Id="rId1236" Type="http://schemas.openxmlformats.org/officeDocument/2006/relationships/hyperlink" Target="https://pt.wikipedia.org/wiki/S%C3%A3o_Sebasti%C3%A3o_do_Ca%C3%AD" TargetMode="External"/><Relationship Id="rId82" Type="http://schemas.openxmlformats.org/officeDocument/2006/relationships/hyperlink" Target="https://pt.wikipedia.org/wiki/Microrregi%C3%A3o_de_Guapor%C3%A9" TargetMode="External"/><Relationship Id="rId606" Type="http://schemas.openxmlformats.org/officeDocument/2006/relationships/hyperlink" Target="https://pt.wikipedia.org/wiki/Microrregi%C3%A3o_de_Iju%C3%AD" TargetMode="External"/><Relationship Id="rId813" Type="http://schemas.openxmlformats.org/officeDocument/2006/relationships/hyperlink" Target="https://pt.wikipedia.org/wiki/Microrregi%C3%A3o_de_Guapor%C3%A9" TargetMode="External"/><Relationship Id="rId1443" Type="http://schemas.openxmlformats.org/officeDocument/2006/relationships/hyperlink" Target="https://pt.wikipedia.org/wiki/Vera_Cruz_(Rio_Grande_do_Sul)" TargetMode="External"/><Relationship Id="rId1303" Type="http://schemas.openxmlformats.org/officeDocument/2006/relationships/hyperlink" Target="https://pt.wikipedia.org/wiki/Microrregi%C3%A3o_de_Restinga_Seca" TargetMode="External"/><Relationship Id="rId189" Type="http://schemas.openxmlformats.org/officeDocument/2006/relationships/hyperlink" Target="https://pt.wikipedia.org/wiki/Cacique_Doble" TargetMode="External"/><Relationship Id="rId396" Type="http://schemas.openxmlformats.org/officeDocument/2006/relationships/hyperlink" Target="https://pt.wikipedia.org/wiki/Microrregi%C3%A3o_de_Gramado-Canela" TargetMode="External"/><Relationship Id="rId256" Type="http://schemas.openxmlformats.org/officeDocument/2006/relationships/hyperlink" Target="https://pt.wikipedia.org/wiki/Microrregi%C3%A3o_de_Pelotas" TargetMode="External"/><Relationship Id="rId463" Type="http://schemas.openxmlformats.org/officeDocument/2006/relationships/hyperlink" Target="https://pt.wikipedia.org/wiki/Mesorregi%C3%A3o_do_Noroeste_Rio-Grandense" TargetMode="External"/><Relationship Id="rId670" Type="http://schemas.openxmlformats.org/officeDocument/2006/relationships/hyperlink" Target="https://pt.wikipedia.org/wiki/Mesorregi%C3%A3o_do_Centro_Ocidental_Rio-Grandense" TargetMode="External"/><Relationship Id="rId1093" Type="http://schemas.openxmlformats.org/officeDocument/2006/relationships/hyperlink" Target="https://pt.wikipedia.org/wiki/Microrregi%C3%A3o_de_Santa_Cruz_do_Sul" TargetMode="External"/><Relationship Id="rId116" Type="http://schemas.openxmlformats.org/officeDocument/2006/relationships/hyperlink" Target="https://pt.wikipedia.org/wiki/Mesorregi%C3%A3o_do_Noroeste_Rio-Grandense" TargetMode="External"/><Relationship Id="rId323" Type="http://schemas.openxmlformats.org/officeDocument/2006/relationships/hyperlink" Target="https://pt.wikipedia.org/wiki/Mesorregi%C3%A3o_do_Sudeste_Rio-Grandense" TargetMode="External"/><Relationship Id="rId530" Type="http://schemas.openxmlformats.org/officeDocument/2006/relationships/hyperlink" Target="https://pt.wikipedia.org/wiki/General_C%C3%A2mara" TargetMode="External"/><Relationship Id="rId768" Type="http://schemas.openxmlformats.org/officeDocument/2006/relationships/hyperlink" Target="https://pt.wikipedia.org/wiki/Microrregi%C3%A3o_de_Guapor%C3%A9" TargetMode="External"/><Relationship Id="rId975" Type="http://schemas.openxmlformats.org/officeDocument/2006/relationships/hyperlink" Target="https://pt.wikipedia.org/wiki/Port%C3%A3o_(Rio_Grande_do_Sul)" TargetMode="External"/><Relationship Id="rId1160" Type="http://schemas.openxmlformats.org/officeDocument/2006/relationships/hyperlink" Target="https://pt.wikipedia.org/wiki/Mesorregi%C3%A3o_do_Sudoeste_Rio-Grandense" TargetMode="External"/><Relationship Id="rId1398" Type="http://schemas.openxmlformats.org/officeDocument/2006/relationships/hyperlink" Target="https://pt.wikipedia.org/wiki/Tupanci_do_Sul" TargetMode="External"/><Relationship Id="rId628" Type="http://schemas.openxmlformats.org/officeDocument/2006/relationships/hyperlink" Target="https://pt.wikipedia.org/wiki/Mesorregi%C3%A3o_do_Noroeste_Rio-Grandense" TargetMode="External"/><Relationship Id="rId835" Type="http://schemas.openxmlformats.org/officeDocument/2006/relationships/hyperlink" Target="https://pt.wikipedia.org/wiki/Mesorregi%C3%A3o_Metropolitana_de_Porto_Alegre" TargetMode="External"/><Relationship Id="rId1258" Type="http://schemas.openxmlformats.org/officeDocument/2006/relationships/hyperlink" Target="https://pt.wikipedia.org/wiki/Microrregi%C3%A3o_de_Porto_Alegre" TargetMode="External"/><Relationship Id="rId1465" Type="http://schemas.openxmlformats.org/officeDocument/2006/relationships/hyperlink" Target="https://pt.wikipedia.org/wiki/Microrregi%C3%A3o_de_Caxias_do_Sul" TargetMode="External"/><Relationship Id="rId1020" Type="http://schemas.openxmlformats.org/officeDocument/2006/relationships/hyperlink" Target="https://pt.wikipedia.org/wiki/Redentora" TargetMode="External"/><Relationship Id="rId1118" Type="http://schemas.openxmlformats.org/officeDocument/2006/relationships/hyperlink" Target="https://pt.wikipedia.org/wiki/Mesorregi%C3%A3o_do_Sudoeste_Rio-Grandense" TargetMode="External"/><Relationship Id="rId1325" Type="http://schemas.openxmlformats.org/officeDocument/2006/relationships/hyperlink" Target="https://pt.wikipedia.org/wiki/Mesorregi%C3%A3o_Metropolitana_de_Porto_Alegre" TargetMode="External"/><Relationship Id="rId902" Type="http://schemas.openxmlformats.org/officeDocument/2006/relationships/hyperlink" Target="https://pt.wikipedia.org/wiki/Pareci_Novo" TargetMode="External"/><Relationship Id="rId31" Type="http://schemas.openxmlformats.org/officeDocument/2006/relationships/hyperlink" Target="https://pt.wikipedia.org/wiki/Microrregi%C3%A3o_de_Cruz_Alta" TargetMode="External"/><Relationship Id="rId180" Type="http://schemas.openxmlformats.org/officeDocument/2006/relationships/hyperlink" Target="https://pt.wikipedia.org/wiki/Cacequi" TargetMode="External"/><Relationship Id="rId278" Type="http://schemas.openxmlformats.org/officeDocument/2006/relationships/hyperlink" Target="https://pt.wikipedia.org/wiki/Mesorregi%C3%A3o_do_Noroeste_Rio-Grandense" TargetMode="External"/><Relationship Id="rId485" Type="http://schemas.openxmlformats.org/officeDocument/2006/relationships/hyperlink" Target="https://pt.wikipedia.org/wiki/Farroupilha" TargetMode="External"/><Relationship Id="rId692" Type="http://schemas.openxmlformats.org/officeDocument/2006/relationships/hyperlink" Target="https://pt.wikipedia.org/wiki/Lago%C3%A3o" TargetMode="External"/><Relationship Id="rId138" Type="http://schemas.openxmlformats.org/officeDocument/2006/relationships/hyperlink" Target="https://pt.wikipedia.org/wiki/Boa_Vista_do_Cadeado" TargetMode="External"/><Relationship Id="rId345" Type="http://schemas.openxmlformats.org/officeDocument/2006/relationships/hyperlink" Target="https://pt.wikipedia.org/wiki/Microrregi%C3%A3o_de_Lajeado-Estrela" TargetMode="External"/><Relationship Id="rId552" Type="http://schemas.openxmlformats.org/officeDocument/2006/relationships/hyperlink" Target="https://pt.wikipedia.org/wiki/Microrregi%C3%A3o_de_Santa_Cruz_do_Sul" TargetMode="External"/><Relationship Id="rId997" Type="http://schemas.openxmlformats.org/officeDocument/2006/relationships/hyperlink" Target="https://pt.wikipedia.org/wiki/Microrregi%C3%A3o_de_Gramado-Canela" TargetMode="External"/><Relationship Id="rId1182" Type="http://schemas.openxmlformats.org/officeDocument/2006/relationships/hyperlink" Target="https://pt.wikipedia.org/wiki/S%C3%A3o_Jos%C3%A9_do_Inhacor%C3%A1" TargetMode="External"/><Relationship Id="rId205" Type="http://schemas.openxmlformats.org/officeDocument/2006/relationships/hyperlink" Target="https://pt.wikipedia.org/wiki/Microrregi%C3%A3o_de_Vacaria" TargetMode="External"/><Relationship Id="rId412" Type="http://schemas.openxmlformats.org/officeDocument/2006/relationships/hyperlink" Target="https://pt.wikipedia.org/wiki/Mesorregi%C3%A3o_Metropolitana_de_Porto_Alegre" TargetMode="External"/><Relationship Id="rId857" Type="http://schemas.openxmlformats.org/officeDocument/2006/relationships/hyperlink" Target="https://pt.wikipedia.org/wiki/Novo_Barreiro" TargetMode="External"/><Relationship Id="rId1042" Type="http://schemas.openxmlformats.org/officeDocument/2006/relationships/hyperlink" Target="https://pt.wikipedia.org/wiki/Microrregi%C3%A3o_de_Lajeado-Estrela" TargetMode="External"/><Relationship Id="rId1487" Type="http://schemas.openxmlformats.org/officeDocument/2006/relationships/hyperlink" Target="https://pt.wikipedia.org/wiki/Mesorregi%C3%A3o_do_Noroeste_Rio-Grandense" TargetMode="External"/><Relationship Id="rId717" Type="http://schemas.openxmlformats.org/officeDocument/2006/relationships/hyperlink" Target="https://pt.wikipedia.org/wiki/Microrregi%C3%A3o_de_Sananduva" TargetMode="External"/><Relationship Id="rId924" Type="http://schemas.openxmlformats.org/officeDocument/2006/relationships/hyperlink" Target="https://pt.wikipedia.org/wiki/Microrregi%C3%A3o_de_Jaguar%C3%A3o" TargetMode="External"/><Relationship Id="rId1347" Type="http://schemas.openxmlformats.org/officeDocument/2006/relationships/hyperlink" Target="https://pt.wikipedia.org/wiki/Tio_Hugo" TargetMode="External"/><Relationship Id="rId53" Type="http://schemas.openxmlformats.org/officeDocument/2006/relationships/hyperlink" Target="https://pt.wikipedia.org/wiki/Mesorregi%C3%A3o_do_Nordeste_Rio-Grandense" TargetMode="External"/><Relationship Id="rId1207" Type="http://schemas.openxmlformats.org/officeDocument/2006/relationships/hyperlink" Target="https://pt.wikipedia.org/wiki/Microrregi%C3%A3o_de_Caxias_do_Sul" TargetMode="External"/><Relationship Id="rId1414" Type="http://schemas.openxmlformats.org/officeDocument/2006/relationships/hyperlink" Target="https://pt.wikipedia.org/wiki/Microrregi%C3%A3o_de_Santo_%C3%82ngelo" TargetMode="External"/><Relationship Id="rId367" Type="http://schemas.openxmlformats.org/officeDocument/2006/relationships/hyperlink" Target="https://pt.wikipedia.org/wiki/Mesorregi%C3%A3o_do_Noroeste_Rio-Grandense" TargetMode="External"/><Relationship Id="rId574" Type="http://schemas.openxmlformats.org/officeDocument/2006/relationships/hyperlink" Target="https://pt.wikipedia.org/wiki/Mesorregi%C3%A3o_do_Sudeste_Rio-Grandense" TargetMode="External"/><Relationship Id="rId227" Type="http://schemas.openxmlformats.org/officeDocument/2006/relationships/hyperlink" Target="https://pt.wikipedia.org/wiki/Mesorregi%C3%A3o_do_Centro_Oriental_Rio-Grandense" TargetMode="External"/><Relationship Id="rId781" Type="http://schemas.openxmlformats.org/officeDocument/2006/relationships/hyperlink" Target="https://pt.wikipedia.org/wiki/Mesorregi%C3%A3o_do_Noroeste_Rio-Grandense" TargetMode="External"/><Relationship Id="rId879" Type="http://schemas.openxmlformats.org/officeDocument/2006/relationships/hyperlink" Target="https://pt.wikipedia.org/wiki/Microrregi%C3%A3o_de_Sananduva" TargetMode="External"/><Relationship Id="rId434" Type="http://schemas.openxmlformats.org/officeDocument/2006/relationships/hyperlink" Target="https://pt.wikipedia.org/wiki/Entre_Rios_do_Sul" TargetMode="External"/><Relationship Id="rId641" Type="http://schemas.openxmlformats.org/officeDocument/2006/relationships/hyperlink" Target="https://pt.wikipedia.org/wiki/Itaqui_(Rio_Grande_do_Sul)" TargetMode="External"/><Relationship Id="rId739" Type="http://schemas.openxmlformats.org/officeDocument/2006/relationships/hyperlink" Target="https://pt.wikipedia.org/wiki/Mesorregi%C3%A3o_Metropolitana_de_Porto_Alegre" TargetMode="External"/><Relationship Id="rId1064" Type="http://schemas.openxmlformats.org/officeDocument/2006/relationships/hyperlink" Target="https://pt.wikipedia.org/wiki/Mesorregi%C3%A3o_do_Sudoeste_Rio-Grandense" TargetMode="External"/><Relationship Id="rId1271" Type="http://schemas.openxmlformats.org/officeDocument/2006/relationships/hyperlink" Target="https://pt.wikipedia.org/wiki/Mesorregi%C3%A3o_do_Noroeste_Rio-Grandense" TargetMode="External"/><Relationship Id="rId1369" Type="http://schemas.openxmlformats.org/officeDocument/2006/relationships/hyperlink" Target="https://pt.wikipedia.org/wiki/Microrregi%C3%A3o_de_Os%C3%B3rio" TargetMode="External"/><Relationship Id="rId501" Type="http://schemas.openxmlformats.org/officeDocument/2006/relationships/hyperlink" Target="https://pt.wikipedia.org/wiki/Microrregi%C3%A3o_de_Caxias_do_Sul" TargetMode="External"/><Relationship Id="rId946" Type="http://schemas.openxmlformats.org/officeDocument/2006/relationships/hyperlink" Target="https://pt.wikipedia.org/wiki/Mesorregi%C3%A3o_do_Centro_Ocidental_Rio-Grandense" TargetMode="External"/><Relationship Id="rId1131" Type="http://schemas.openxmlformats.org/officeDocument/2006/relationships/hyperlink" Target="https://pt.wikipedia.org/wiki/Santo_Ant%C3%B4nio_do_Palma" TargetMode="External"/><Relationship Id="rId1229" Type="http://schemas.openxmlformats.org/officeDocument/2006/relationships/hyperlink" Target="https://pt.wikipedia.org/wiki/Mesorregi%C3%A3o_do_Noroeste_Rio-Grandense" TargetMode="External"/><Relationship Id="rId75" Type="http://schemas.openxmlformats.org/officeDocument/2006/relationships/hyperlink" Target="https://pt.wikipedia.org/wiki/Arroio_dos_Ratos" TargetMode="External"/><Relationship Id="rId806" Type="http://schemas.openxmlformats.org/officeDocument/2006/relationships/hyperlink" Target="https://pt.wikipedia.org/wiki/Nicolau_Vergueiro" TargetMode="External"/><Relationship Id="rId1436" Type="http://schemas.openxmlformats.org/officeDocument/2006/relationships/hyperlink" Target="https://pt.wikipedia.org/wiki/Mesorregi%C3%A3o_Metropolitana_de_Porto_Alegre" TargetMode="External"/><Relationship Id="rId291" Type="http://schemas.openxmlformats.org/officeDocument/2006/relationships/hyperlink" Target="https://pt.wikipedia.org/wiki/Centen%C3%A1rio_(Rio_Grande_do_Sul)" TargetMode="External"/><Relationship Id="rId151" Type="http://schemas.openxmlformats.org/officeDocument/2006/relationships/hyperlink" Target="https://pt.wikipedia.org/wiki/Microrregi%C3%A3o_de_Montenegro" TargetMode="External"/><Relationship Id="rId389" Type="http://schemas.openxmlformats.org/officeDocument/2006/relationships/hyperlink" Target="https://pt.wikipedia.org/wiki/Dezesseis_de_Novembro" TargetMode="External"/><Relationship Id="rId596" Type="http://schemas.openxmlformats.org/officeDocument/2006/relationships/hyperlink" Target="https://pt.wikipedia.org/wiki/Ibirapuit%C3%A3" TargetMode="External"/><Relationship Id="rId249" Type="http://schemas.openxmlformats.org/officeDocument/2006/relationships/hyperlink" Target="https://pt.wikipedia.org/wiki/Cap%C3%A3o_da_Canoa" TargetMode="External"/><Relationship Id="rId456" Type="http://schemas.openxmlformats.org/officeDocument/2006/relationships/hyperlink" Target="https://pt.wikipedia.org/wiki/Microrregi%C3%A3o_de_Vacaria" TargetMode="External"/><Relationship Id="rId663" Type="http://schemas.openxmlformats.org/officeDocument/2006/relationships/hyperlink" Target="https://pt.wikipedia.org/wiki/Microrregi%C3%A3o_de_Erechim" TargetMode="External"/><Relationship Id="rId870" Type="http://schemas.openxmlformats.org/officeDocument/2006/relationships/hyperlink" Target="https://pt.wikipedia.org/wiki/Microrregi%C3%A3o_de_Frederico_Westphalen" TargetMode="External"/><Relationship Id="rId1086" Type="http://schemas.openxmlformats.org/officeDocument/2006/relationships/hyperlink" Target="https://pt.wikipedia.org/wiki/Santa_Cec%C3%ADlia_do_Sul" TargetMode="External"/><Relationship Id="rId1293" Type="http://schemas.openxmlformats.org/officeDocument/2006/relationships/hyperlink" Target="https://pt.wikipedia.org/wiki/Sert%C3%A3o_Santana" TargetMode="External"/><Relationship Id="rId109" Type="http://schemas.openxmlformats.org/officeDocument/2006/relationships/hyperlink" Target="https://pt.wikipedia.org/wiki/Microrregi%C3%A3o_da_Campanha_Ocidental" TargetMode="External"/><Relationship Id="rId316" Type="http://schemas.openxmlformats.org/officeDocument/2006/relationships/hyperlink" Target="https://pt.wikipedia.org/wiki/Microrregi%C3%A3o_de_Passo_Fundo" TargetMode="External"/><Relationship Id="rId523" Type="http://schemas.openxmlformats.org/officeDocument/2006/relationships/hyperlink" Target="https://pt.wikipedia.org/wiki/Mesorregi%C3%A3o_do_Nordeste_Rio-Grandense" TargetMode="External"/><Relationship Id="rId968" Type="http://schemas.openxmlformats.org/officeDocument/2006/relationships/hyperlink" Target="https://pt.wikipedia.org/wiki/Mesorregi%C3%A3o_Metropolitana_de_Porto_Alegre" TargetMode="External"/><Relationship Id="rId1153" Type="http://schemas.openxmlformats.org/officeDocument/2006/relationships/hyperlink" Target="https://pt.wikipedia.org/wiki/Microrregi%C3%A3o_da_Campanha_Ocidental" TargetMode="External"/><Relationship Id="rId97" Type="http://schemas.openxmlformats.org/officeDocument/2006/relationships/hyperlink" Target="https://pt.wikipedia.org/wiki/Microrregi%C3%A3o_de_Montenegro" TargetMode="External"/><Relationship Id="rId730" Type="http://schemas.openxmlformats.org/officeDocument/2006/relationships/hyperlink" Target="https://pt.wikipedia.org/wiki/Mesorregi%C3%A3o_Metropolitana_de_Porto_Alegre" TargetMode="External"/><Relationship Id="rId828" Type="http://schemas.openxmlformats.org/officeDocument/2006/relationships/hyperlink" Target="https://pt.wikipedia.org/wiki/Microrregi%C3%A3o_de_Tr%C3%AAs_Passos" TargetMode="External"/><Relationship Id="rId1013" Type="http://schemas.openxmlformats.org/officeDocument/2006/relationships/hyperlink" Target="https://pt.wikipedia.org/wiki/Mesorregi%C3%A3o_do_Noroeste_Rio-Grandense" TargetMode="External"/><Relationship Id="rId1360" Type="http://schemas.openxmlformats.org/officeDocument/2006/relationships/hyperlink" Target="https://pt.wikipedia.org/wiki/Microrregi%C3%A3o_de_Os%C3%B3rio" TargetMode="External"/><Relationship Id="rId1458" Type="http://schemas.openxmlformats.org/officeDocument/2006/relationships/hyperlink" Target="https://pt.wikipedia.org/wiki/Vicente_Dutra" TargetMode="External"/><Relationship Id="rId1220" Type="http://schemas.openxmlformats.org/officeDocument/2006/relationships/hyperlink" Target="https://pt.wikipedia.org/wiki/Mesorregi%C3%A3o_do_Noroeste_Rio-Grandense" TargetMode="External"/><Relationship Id="rId1318" Type="http://schemas.openxmlformats.org/officeDocument/2006/relationships/hyperlink" Target="https://pt.wikipedia.org/wiki/Microrregi%C3%A3o_de_Passo_Fundo" TargetMode="External"/><Relationship Id="rId24" Type="http://schemas.openxmlformats.org/officeDocument/2006/relationships/hyperlink" Target="https://pt.wikipedia.org/wiki/Almirante_Tamandar%C3%A9_do_Sul" TargetMode="External"/><Relationship Id="rId173" Type="http://schemas.openxmlformats.org/officeDocument/2006/relationships/hyperlink" Target="https://pt.wikipedia.org/wiki/Mesorregi%C3%A3o_Metropolitana_de_Porto_Alegre" TargetMode="External"/><Relationship Id="rId380" Type="http://schemas.openxmlformats.org/officeDocument/2006/relationships/hyperlink" Target="https://pt.wikipedia.org/wiki/Cruzeiro_do_Sul_(Rio_Grande_do_Sul)" TargetMode="External"/><Relationship Id="rId240" Type="http://schemas.openxmlformats.org/officeDocument/2006/relationships/hyperlink" Target="https://pt.wikipedia.org/wiki/Canoas" TargetMode="External"/><Relationship Id="rId478" Type="http://schemas.openxmlformats.org/officeDocument/2006/relationships/hyperlink" Target="https://pt.wikipedia.org/wiki/Mesorregi%C3%A3o_do_Centro_Oriental_Rio-Grandense" TargetMode="External"/><Relationship Id="rId685" Type="http://schemas.openxmlformats.org/officeDocument/2006/relationships/hyperlink" Target="https://pt.wikipedia.org/wiki/Mesorregi%C3%A3o_do_Centro_Oriental_Rio-Grandense" TargetMode="External"/><Relationship Id="rId892" Type="http://schemas.openxmlformats.org/officeDocument/2006/relationships/hyperlink" Target="https://pt.wikipedia.org/wiki/Mesorregi%C3%A3o_do_Noroeste_Rio-Grandense" TargetMode="External"/><Relationship Id="rId100" Type="http://schemas.openxmlformats.org/officeDocument/2006/relationships/hyperlink" Target="https://pt.wikipedia.org/wiki/Microrregi%C3%A3o_de_Erechim" TargetMode="External"/><Relationship Id="rId338" Type="http://schemas.openxmlformats.org/officeDocument/2006/relationships/hyperlink" Target="https://pt.wikipedia.org/wiki/Condor_(Rio_Grande_do_Sul)" TargetMode="External"/><Relationship Id="rId545" Type="http://schemas.openxmlformats.org/officeDocument/2006/relationships/hyperlink" Target="https://pt.wikipedia.org/wiki/Gramado" TargetMode="External"/><Relationship Id="rId752" Type="http://schemas.openxmlformats.org/officeDocument/2006/relationships/hyperlink" Target="https://pt.wikipedia.org/wiki/Mato_Leit%C3%A3o" TargetMode="External"/><Relationship Id="rId1175" Type="http://schemas.openxmlformats.org/officeDocument/2006/relationships/hyperlink" Target="https://pt.wikipedia.org/wiki/Mesorregi%C3%A3o_do_Noroeste_Rio-Grandense" TargetMode="External"/><Relationship Id="rId1382" Type="http://schemas.openxmlformats.org/officeDocument/2006/relationships/hyperlink" Target="https://pt.wikipedia.org/wiki/Mesorregi%C3%A3o_do_Noroeste_Rio-Grandense" TargetMode="External"/><Relationship Id="rId405" Type="http://schemas.openxmlformats.org/officeDocument/2006/relationships/hyperlink" Target="https://pt.wikipedia.org/wiki/Microrregi%C3%A3o_de_Camaqu%C3%A3" TargetMode="External"/><Relationship Id="rId612" Type="http://schemas.openxmlformats.org/officeDocument/2006/relationships/hyperlink" Target="https://pt.wikipedia.org/wiki/Microrregi%C3%A3o_de_Os%C3%B3rio" TargetMode="External"/><Relationship Id="rId1035" Type="http://schemas.openxmlformats.org/officeDocument/2006/relationships/hyperlink" Target="https://pt.wikipedia.org/wiki/Rio_Pardo" TargetMode="External"/><Relationship Id="rId1242" Type="http://schemas.openxmlformats.org/officeDocument/2006/relationships/hyperlink" Target="https://pt.wikipedia.org/wiki/S%C3%A3o_Valentim_(Rio_Grande_do_Sul)" TargetMode="External"/><Relationship Id="rId917" Type="http://schemas.openxmlformats.org/officeDocument/2006/relationships/hyperlink" Target="https://pt.wikipedia.org/wiki/Paulo_Bento" TargetMode="External"/><Relationship Id="rId1102" Type="http://schemas.openxmlformats.org/officeDocument/2006/relationships/hyperlink" Target="https://pt.wikipedia.org/wiki/Microrregi%C3%A3o_de_Gramado-Canela" TargetMode="External"/><Relationship Id="rId46" Type="http://schemas.openxmlformats.org/officeDocument/2006/relationships/hyperlink" Target="https://pt.wikipedia.org/wiki/Microrregi%C3%A3o_de_Guapor%C3%A9" TargetMode="External"/><Relationship Id="rId1407" Type="http://schemas.openxmlformats.org/officeDocument/2006/relationships/hyperlink" Target="https://pt.wikipedia.org/wiki/Tuparendi" TargetMode="External"/><Relationship Id="rId195" Type="http://schemas.openxmlformats.org/officeDocument/2006/relationships/hyperlink" Target="https://pt.wikipedia.org/wiki/Cai%C3%A7ara_(Rio_Grande_do_Sul)" TargetMode="External"/><Relationship Id="rId262" Type="http://schemas.openxmlformats.org/officeDocument/2006/relationships/hyperlink" Target="https://pt.wikipedia.org/wiki/Microrregi%C3%A3o_de_Lajeado-Estrela" TargetMode="External"/><Relationship Id="rId567" Type="http://schemas.openxmlformats.org/officeDocument/2006/relationships/hyperlink" Target="https://pt.wikipedia.org/wiki/Microrregi%C3%A3o_de_Cerro_Largo" TargetMode="External"/><Relationship Id="rId1197" Type="http://schemas.openxmlformats.org/officeDocument/2006/relationships/hyperlink" Target="https://pt.wikipedia.org/wiki/S%C3%A3o_Leopoldo" TargetMode="External"/><Relationship Id="rId122" Type="http://schemas.openxmlformats.org/officeDocument/2006/relationships/hyperlink" Target="https://pt.wikipedia.org/wiki/Mesorregi%C3%A3o_do_Noroeste_Rio-Grandense" TargetMode="External"/><Relationship Id="rId774" Type="http://schemas.openxmlformats.org/officeDocument/2006/relationships/hyperlink" Target="https://pt.wikipedia.org/wiki/Microrregi%C3%A3o_de_Caxias_do_Sul" TargetMode="External"/><Relationship Id="rId981" Type="http://schemas.openxmlformats.org/officeDocument/2006/relationships/hyperlink" Target="https://pt.wikipedia.org/wiki/Porto_Lucena" TargetMode="External"/><Relationship Id="rId1057" Type="http://schemas.openxmlformats.org/officeDocument/2006/relationships/hyperlink" Target="https://pt.wikipedia.org/wiki/Microrregi%C3%A3o_de_Frederico_Westphalen" TargetMode="External"/><Relationship Id="rId427" Type="http://schemas.openxmlformats.org/officeDocument/2006/relationships/hyperlink" Target="https://pt.wikipedia.org/wiki/Mesorregi%C3%A3o_do_Centro_Oriental_Rio-Grandense" TargetMode="External"/><Relationship Id="rId634" Type="http://schemas.openxmlformats.org/officeDocument/2006/relationships/hyperlink" Target="https://pt.wikipedia.org/wiki/Mesorregi%C3%A3o_do_Centro_Ocidental_Rio-Grandense" TargetMode="External"/><Relationship Id="rId841" Type="http://schemas.openxmlformats.org/officeDocument/2006/relationships/hyperlink" Target="https://pt.wikipedia.org/wiki/Mesorregi%C3%A3o_do_Centro_Ocidental_Rio-Grandense" TargetMode="External"/><Relationship Id="rId1264" Type="http://schemas.openxmlformats.org/officeDocument/2006/relationships/hyperlink" Target="https://pt.wikipedia.org/wiki/Microrregi%C3%A3o_de_Carazinho" TargetMode="External"/><Relationship Id="rId1471" Type="http://schemas.openxmlformats.org/officeDocument/2006/relationships/hyperlink" Target="https://pt.wikipedia.org/wiki/Microrregi%C3%A3o_de_Passo_Fundo" TargetMode="External"/><Relationship Id="rId701" Type="http://schemas.openxmlformats.org/officeDocument/2006/relationships/hyperlink" Target="https://pt.wikipedia.org/wiki/Lavras_do_Sul" TargetMode="External"/><Relationship Id="rId939" Type="http://schemas.openxmlformats.org/officeDocument/2006/relationships/hyperlink" Target="https://pt.wikipedia.org/wiki/Microrregi%C3%A3o_de_Carazinho" TargetMode="External"/><Relationship Id="rId1124" Type="http://schemas.openxmlformats.org/officeDocument/2006/relationships/hyperlink" Target="https://pt.wikipedia.org/wiki/Mesorregi%C3%A3o_do_Noroeste_Rio-Grandense" TargetMode="External"/><Relationship Id="rId1331" Type="http://schemas.openxmlformats.org/officeDocument/2006/relationships/hyperlink" Target="https://pt.wikipedia.org/wiki/Mesorregi%C3%A3o_do_Centro_Oriental_Rio-Grandense" TargetMode="External"/><Relationship Id="rId68" Type="http://schemas.openxmlformats.org/officeDocument/2006/relationships/hyperlink" Target="https://pt.wikipedia.org/wiki/Mesorregi%C3%A3o_do_Sudeste_Rio-Grandense" TargetMode="External"/><Relationship Id="rId1429" Type="http://schemas.openxmlformats.org/officeDocument/2006/relationships/hyperlink" Target="https://pt.wikipedia.org/wiki/Microrregi%C3%A3o_de_Santa_Cruz_do_Sul" TargetMode="External"/><Relationship Id="rId284" Type="http://schemas.openxmlformats.org/officeDocument/2006/relationships/hyperlink" Target="https://pt.wikipedia.org/wiki/Mesorregi%C3%A3o_do_Noroeste_Rio-Grandense" TargetMode="External"/><Relationship Id="rId491" Type="http://schemas.openxmlformats.org/officeDocument/2006/relationships/hyperlink" Target="https://pt.wikipedia.org/wiki/Faxinalzinho" TargetMode="External"/><Relationship Id="rId144" Type="http://schemas.openxmlformats.org/officeDocument/2006/relationships/hyperlink" Target="https://pt.wikipedia.org/wiki/Boa_Vista_do_Sul" TargetMode="External"/><Relationship Id="rId589" Type="http://schemas.openxmlformats.org/officeDocument/2006/relationships/hyperlink" Target="https://pt.wikipedia.org/wiki/Mesorregi%C3%A3o_do_Centro_Oriental_Rio-Grandense" TargetMode="External"/><Relationship Id="rId796" Type="http://schemas.openxmlformats.org/officeDocument/2006/relationships/hyperlink" Target="https://pt.wikipedia.org/wiki/Mesorregi%C3%A3o_do_Centro_Oriental_Rio-Grandense" TargetMode="External"/><Relationship Id="rId351" Type="http://schemas.openxmlformats.org/officeDocument/2006/relationships/hyperlink" Target="https://pt.wikipedia.org/wiki/Microrregi%C3%A3o_de_Iju%C3%AD" TargetMode="External"/><Relationship Id="rId449" Type="http://schemas.openxmlformats.org/officeDocument/2006/relationships/hyperlink" Target="https://pt.wikipedia.org/wiki/Erval_Grande" TargetMode="External"/><Relationship Id="rId656" Type="http://schemas.openxmlformats.org/officeDocument/2006/relationships/hyperlink" Target="https://pt.wikipedia.org/wiki/Jaboticaba" TargetMode="External"/><Relationship Id="rId863" Type="http://schemas.openxmlformats.org/officeDocument/2006/relationships/hyperlink" Target="https://pt.wikipedia.org/wiki/Novo_Hamburgo" TargetMode="External"/><Relationship Id="rId1079" Type="http://schemas.openxmlformats.org/officeDocument/2006/relationships/hyperlink" Target="https://pt.wikipedia.org/wiki/Mesorregi%C3%A3o_Metropolitana_de_Porto_Alegre" TargetMode="External"/><Relationship Id="rId1286" Type="http://schemas.openxmlformats.org/officeDocument/2006/relationships/hyperlink" Target="https://pt.wikipedia.org/wiki/Mesorregi%C3%A3o_do_Nordeste_Rio-Grandense" TargetMode="External"/><Relationship Id="rId1493" Type="http://schemas.openxmlformats.org/officeDocument/2006/relationships/hyperlink" Target="https://pt.wikipedia.org/wiki/Mesorregi%C3%A3o_Metropolitana_de_Porto_Alegre" TargetMode="External"/><Relationship Id="rId211" Type="http://schemas.openxmlformats.org/officeDocument/2006/relationships/hyperlink" Target="https://pt.wikipedia.org/wiki/Microrregi%C3%A3o_de_Cerro_Largo" TargetMode="External"/><Relationship Id="rId309" Type="http://schemas.openxmlformats.org/officeDocument/2006/relationships/hyperlink" Target="https://pt.wikipedia.org/wiki/Chapada_(Rio_Grande_do_Sul)" TargetMode="External"/><Relationship Id="rId516" Type="http://schemas.openxmlformats.org/officeDocument/2006/relationships/hyperlink" Target="https://pt.wikipedia.org/wiki/Microrregi%C3%A3o_de_Cruz_Alta" TargetMode="External"/><Relationship Id="rId1146" Type="http://schemas.openxmlformats.org/officeDocument/2006/relationships/hyperlink" Target="https://pt.wikipedia.org/wiki/S%C3%A3o_Borja" TargetMode="External"/><Relationship Id="rId723" Type="http://schemas.openxmlformats.org/officeDocument/2006/relationships/hyperlink" Target="https://pt.wikipedia.org/wiki/Microrregi%C3%A3o_da_Campanha_Ocidental" TargetMode="External"/><Relationship Id="rId930" Type="http://schemas.openxmlformats.org/officeDocument/2006/relationships/hyperlink" Target="https://pt.wikipedia.org/wiki/Microrregi%C3%A3o_de_Iju%C3%AD" TargetMode="External"/><Relationship Id="rId1006" Type="http://schemas.openxmlformats.org/officeDocument/2006/relationships/hyperlink" Target="https://pt.wikipedia.org/wiki/Microrregi%C3%A3o_de_Guapor%C3%A9" TargetMode="External"/><Relationship Id="rId1353" Type="http://schemas.openxmlformats.org/officeDocument/2006/relationships/hyperlink" Target="https://pt.wikipedia.org/wiki/Toropi" TargetMode="External"/><Relationship Id="rId1213" Type="http://schemas.openxmlformats.org/officeDocument/2006/relationships/hyperlink" Target="https://pt.wikipedia.org/wiki/Microrregi%C3%A3o_de_Santa_Maria" TargetMode="External"/><Relationship Id="rId1420" Type="http://schemas.openxmlformats.org/officeDocument/2006/relationships/hyperlink" Target="https://pt.wikipedia.org/wiki/Microrregi%C3%A3o_de_Santiago" TargetMode="External"/><Relationship Id="rId17" Type="http://schemas.openxmlformats.org/officeDocument/2006/relationships/hyperlink" Target="https://pt.wikipedia.org/wiki/Mesorregi%C3%A3o_do_Noroeste_Rio-Grandense" TargetMode="External"/><Relationship Id="rId166" Type="http://schemas.openxmlformats.org/officeDocument/2006/relationships/hyperlink" Target="https://pt.wikipedia.org/wiki/Microrregi%C3%A3o_de_Iju%C3%AD" TargetMode="External"/><Relationship Id="rId373" Type="http://schemas.openxmlformats.org/officeDocument/2006/relationships/hyperlink" Target="https://pt.wikipedia.org/wiki/Mesorregi%C3%A3o_do_Noroeste_Rio-Grandense" TargetMode="External"/><Relationship Id="rId580" Type="http://schemas.openxmlformats.org/officeDocument/2006/relationships/hyperlink" Target="https://pt.wikipedia.org/wiki/Mesorregi%C3%A3o_do_Noroeste_Rio-Grandense" TargetMode="External"/><Relationship Id="rId1" Type="http://schemas.openxmlformats.org/officeDocument/2006/relationships/hyperlink" Target="https://pt.wikipedia.org/wiki/Lista_de_munic%C3%ADpios_do_Rio_Grande_do_Sul_por_popula%C3%A7%C3%A3o" TargetMode="External"/><Relationship Id="rId233" Type="http://schemas.openxmlformats.org/officeDocument/2006/relationships/hyperlink" Target="https://pt.wikipedia.org/wiki/Mesorregi%C3%A3o_do_Sudeste_Rio-Grandense" TargetMode="External"/><Relationship Id="rId440" Type="http://schemas.openxmlformats.org/officeDocument/2006/relationships/hyperlink" Target="https://pt.wikipedia.org/wiki/Erebango" TargetMode="External"/><Relationship Id="rId678" Type="http://schemas.openxmlformats.org/officeDocument/2006/relationships/hyperlink" Target="https://pt.wikipedia.org/wiki/Microrregi%C3%A3o_de_Cruz_Alta" TargetMode="External"/><Relationship Id="rId885" Type="http://schemas.openxmlformats.org/officeDocument/2006/relationships/hyperlink" Target="https://pt.wikipedia.org/wiki/Microrregi%C3%A3o_de_Carazinho" TargetMode="External"/><Relationship Id="rId1070" Type="http://schemas.openxmlformats.org/officeDocument/2006/relationships/hyperlink" Target="https://pt.wikipedia.org/wiki/Mesorregi%C3%A3o_do_Noroeste_Rio-Grandense" TargetMode="External"/><Relationship Id="rId300" Type="http://schemas.openxmlformats.org/officeDocument/2006/relationships/hyperlink" Target="https://pt.wikipedia.org/wiki/Cerro_Grande" TargetMode="External"/><Relationship Id="rId538" Type="http://schemas.openxmlformats.org/officeDocument/2006/relationships/hyperlink" Target="https://pt.wikipedia.org/wiki/Mesorregi%C3%A3o_do_Noroeste_Rio-Grandense" TargetMode="External"/><Relationship Id="rId745" Type="http://schemas.openxmlformats.org/officeDocument/2006/relationships/hyperlink" Target="https://pt.wikipedia.org/wiki/Mesorregi%C3%A3o_do_Centro_Oriental_Rio-Grandense" TargetMode="External"/><Relationship Id="rId952" Type="http://schemas.openxmlformats.org/officeDocument/2006/relationships/hyperlink" Target="https://pt.wikipedia.org/wiki/Mesorregi%C3%A3o_do_Sudeste_Rio-Grandense" TargetMode="External"/><Relationship Id="rId1168" Type="http://schemas.openxmlformats.org/officeDocument/2006/relationships/hyperlink" Target="https://pt.wikipedia.org/wiki/Microrregi%C3%A3o_de_Restinga_Seca" TargetMode="External"/><Relationship Id="rId1375" Type="http://schemas.openxmlformats.org/officeDocument/2006/relationships/hyperlink" Target="https://pt.wikipedia.org/wiki/Microrregi%C3%A3o_de_Santa_Rosa" TargetMode="External"/><Relationship Id="rId81" Type="http://schemas.openxmlformats.org/officeDocument/2006/relationships/hyperlink" Target="https://pt.wikipedia.org/wiki/Arvorezinha" TargetMode="External"/><Relationship Id="rId605" Type="http://schemas.openxmlformats.org/officeDocument/2006/relationships/hyperlink" Target="https://pt.wikipedia.org/wiki/Iju%C3%AD" TargetMode="External"/><Relationship Id="rId812" Type="http://schemas.openxmlformats.org/officeDocument/2006/relationships/hyperlink" Target="https://pt.wikipedia.org/wiki/Nova_Alvorada" TargetMode="External"/><Relationship Id="rId1028" Type="http://schemas.openxmlformats.org/officeDocument/2006/relationships/hyperlink" Target="https://pt.wikipedia.org/wiki/Mesorregi%C3%A3o_do_Centro_Ocidental_Rio-Grandense" TargetMode="External"/><Relationship Id="rId1235" Type="http://schemas.openxmlformats.org/officeDocument/2006/relationships/hyperlink" Target="https://pt.wikipedia.org/wiki/Mesorregi%C3%A3o_do_Centro_Ocidental_Rio-Grandense" TargetMode="External"/><Relationship Id="rId1442" Type="http://schemas.openxmlformats.org/officeDocument/2006/relationships/hyperlink" Target="https://pt.wikipedia.org/wiki/Mesorregi%C3%A3o_do_Centro_Oriental_Rio-Grandense" TargetMode="External"/><Relationship Id="rId1302" Type="http://schemas.openxmlformats.org/officeDocument/2006/relationships/hyperlink" Target="https://pt.wikipedia.org/wiki/Silveira_Martins" TargetMode="External"/><Relationship Id="rId39" Type="http://schemas.openxmlformats.org/officeDocument/2006/relationships/hyperlink" Target="https://pt.wikipedia.org/wiki/Amaral_Ferrador" TargetMode="External"/><Relationship Id="rId188" Type="http://schemas.openxmlformats.org/officeDocument/2006/relationships/hyperlink" Target="https://pt.wikipedia.org/wiki/Mesorregi%C3%A3o_Metropolitana_de_Porto_Alegre" TargetMode="External"/><Relationship Id="rId395" Type="http://schemas.openxmlformats.org/officeDocument/2006/relationships/hyperlink" Target="https://pt.wikipedia.org/wiki/Dois_Irm%C3%A3os" TargetMode="External"/><Relationship Id="rId255" Type="http://schemas.openxmlformats.org/officeDocument/2006/relationships/hyperlink" Target="https://pt.wikipedia.org/wiki/Cap%C3%A3o_do_Le%C3%A3o" TargetMode="External"/><Relationship Id="rId462" Type="http://schemas.openxmlformats.org/officeDocument/2006/relationships/hyperlink" Target="https://pt.wikipedia.org/wiki/Microrregi%C3%A3o_de_Cruz_Alta" TargetMode="External"/><Relationship Id="rId1092" Type="http://schemas.openxmlformats.org/officeDocument/2006/relationships/hyperlink" Target="https://pt.wikipedia.org/wiki/Santa_Cruz_do_Sul" TargetMode="External"/><Relationship Id="rId1397" Type="http://schemas.openxmlformats.org/officeDocument/2006/relationships/hyperlink" Target="https://pt.wikipedia.org/wiki/Mesorregi%C3%A3o_do_Noroeste_Rio-Grandense" TargetMode="External"/><Relationship Id="rId115" Type="http://schemas.openxmlformats.org/officeDocument/2006/relationships/hyperlink" Target="https://pt.wikipedia.org/wiki/Microrregi%C3%A3o_de_Erechim" TargetMode="External"/><Relationship Id="rId322" Type="http://schemas.openxmlformats.org/officeDocument/2006/relationships/hyperlink" Target="https://pt.wikipedia.org/wiki/Microrregi%C3%A3o_do_Litoral_Lagunar" TargetMode="External"/><Relationship Id="rId767" Type="http://schemas.openxmlformats.org/officeDocument/2006/relationships/hyperlink" Target="https://pt.wikipedia.org/wiki/Montauri" TargetMode="External"/><Relationship Id="rId974" Type="http://schemas.openxmlformats.org/officeDocument/2006/relationships/hyperlink" Target="https://pt.wikipedia.org/wiki/Mesorregi%C3%A3o_do_Noroeste_Rio-Grandense" TargetMode="External"/><Relationship Id="rId627" Type="http://schemas.openxmlformats.org/officeDocument/2006/relationships/hyperlink" Target="https://pt.wikipedia.org/wiki/Microrregi%C3%A3o_de_Erechim" TargetMode="External"/><Relationship Id="rId834" Type="http://schemas.openxmlformats.org/officeDocument/2006/relationships/hyperlink" Target="https://pt.wikipedia.org/wiki/Microrregi%C3%A3o_de_Porto_Alegre" TargetMode="External"/><Relationship Id="rId1257" Type="http://schemas.openxmlformats.org/officeDocument/2006/relationships/hyperlink" Target="https://pt.wikipedia.org/wiki/Sapiranga" TargetMode="External"/><Relationship Id="rId1464" Type="http://schemas.openxmlformats.org/officeDocument/2006/relationships/hyperlink" Target="https://pt.wikipedia.org/wiki/Vila_Flore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t.wikipedia.org/wiki/Canoas" TargetMode="External"/><Relationship Id="rId21" Type="http://schemas.openxmlformats.org/officeDocument/2006/relationships/hyperlink" Target="https://pt.wikipedia.org/wiki/Microrregi%C3%A3o_de_Erechim" TargetMode="External"/><Relationship Id="rId324" Type="http://schemas.openxmlformats.org/officeDocument/2006/relationships/hyperlink" Target="https://pt.wikipedia.org/wiki/Novo_Cabrais" TargetMode="External"/><Relationship Id="rId531" Type="http://schemas.openxmlformats.org/officeDocument/2006/relationships/hyperlink" Target="https://pt.wikipedia.org/wiki/Vista_Ga%C3%BAcha" TargetMode="External"/><Relationship Id="rId170" Type="http://schemas.openxmlformats.org/officeDocument/2006/relationships/hyperlink" Target="https://pt.wikipedia.org/wiki/Dois_Irm%C3%A3os_das_Miss%C3%B5es" TargetMode="External"/><Relationship Id="rId268" Type="http://schemas.openxmlformats.org/officeDocument/2006/relationships/hyperlink" Target="https://pt.wikipedia.org/wiki/Lago%C3%A3o" TargetMode="External"/><Relationship Id="rId475" Type="http://schemas.openxmlformats.org/officeDocument/2006/relationships/hyperlink" Target="https://pt.wikipedia.org/wiki/Taba%C3%AD" TargetMode="External"/><Relationship Id="rId32" Type="http://schemas.openxmlformats.org/officeDocument/2006/relationships/hyperlink" Target="https://pt.wikipedia.org/wiki/Anta_Gorda" TargetMode="External"/><Relationship Id="rId128" Type="http://schemas.openxmlformats.org/officeDocument/2006/relationships/hyperlink" Target="https://pt.wikipedia.org/wiki/Carlos_Barbosa" TargetMode="External"/><Relationship Id="rId335" Type="http://schemas.openxmlformats.org/officeDocument/2006/relationships/hyperlink" Target="https://pt.wikipedia.org/wiki/Pantano_Grande" TargetMode="External"/><Relationship Id="rId181" Type="http://schemas.openxmlformats.org/officeDocument/2006/relationships/hyperlink" Target="https://pt.wikipedia.org/wiki/Engenho_Velho" TargetMode="External"/><Relationship Id="rId402" Type="http://schemas.openxmlformats.org/officeDocument/2006/relationships/hyperlink" Target="https://pt.wikipedia.org/wiki/Santa_Cruz_do_Sul" TargetMode="External"/><Relationship Id="rId279" Type="http://schemas.openxmlformats.org/officeDocument/2006/relationships/hyperlink" Target="https://pt.wikipedia.org/wiki/Maquin%C3%A9" TargetMode="External"/><Relationship Id="rId444" Type="http://schemas.openxmlformats.org/officeDocument/2006/relationships/hyperlink" Target="https://pt.wikipedia.org/wiki/S%C3%A3o_Paulo_das_Miss%C3%B5es" TargetMode="External"/><Relationship Id="rId486" Type="http://schemas.openxmlformats.org/officeDocument/2006/relationships/hyperlink" Target="https://pt.wikipedia.org/wiki/Tio_Hugo" TargetMode="External"/><Relationship Id="rId43" Type="http://schemas.openxmlformats.org/officeDocument/2006/relationships/hyperlink" Target="https://pt.wikipedia.org/wiki/Microrregi%C3%A3o_de_Os%C3%B3rio" TargetMode="External"/><Relationship Id="rId139" Type="http://schemas.openxmlformats.org/officeDocument/2006/relationships/hyperlink" Target="https://pt.wikipedia.org/wiki/Cerro_Largo_(Rio_Grande_do_Sul)" TargetMode="External"/><Relationship Id="rId290" Type="http://schemas.openxmlformats.org/officeDocument/2006/relationships/hyperlink" Target="https://pt.wikipedia.org/wiki/Maximiliano_de_Almeida" TargetMode="External"/><Relationship Id="rId304" Type="http://schemas.openxmlformats.org/officeDocument/2006/relationships/hyperlink" Target="https://pt.wikipedia.org/wiki/Muliterno" TargetMode="External"/><Relationship Id="rId346" Type="http://schemas.openxmlformats.org/officeDocument/2006/relationships/hyperlink" Target="https://pt.wikipedia.org/wiki/Pedro_Os%C3%B3rio" TargetMode="External"/><Relationship Id="rId388" Type="http://schemas.openxmlformats.org/officeDocument/2006/relationships/hyperlink" Target="https://pt.wikipedia.org/wiki/Ronda_Alta" TargetMode="External"/><Relationship Id="rId511" Type="http://schemas.openxmlformats.org/officeDocument/2006/relationships/hyperlink" Target="https://pt.wikipedia.org/wiki/Uruguaiana" TargetMode="External"/><Relationship Id="rId85" Type="http://schemas.openxmlformats.org/officeDocument/2006/relationships/hyperlink" Target="https://pt.wikipedia.org/wiki/Boa_Vista_do_Sul" TargetMode="External"/><Relationship Id="rId150" Type="http://schemas.openxmlformats.org/officeDocument/2006/relationships/hyperlink" Target="https://pt.wikipedia.org/wiki/Condor_(Rio_Grande_do_Sul)" TargetMode="External"/><Relationship Id="rId192" Type="http://schemas.openxmlformats.org/officeDocument/2006/relationships/hyperlink" Target="https://pt.wikipedia.org/wiki/Esta%C3%A7%C3%A3o_(Rio_Grande_do_Sul)" TargetMode="External"/><Relationship Id="rId206" Type="http://schemas.openxmlformats.org/officeDocument/2006/relationships/hyperlink" Target="https://pt.wikipedia.org/wiki/Fontoura_Xavier" TargetMode="External"/><Relationship Id="rId413" Type="http://schemas.openxmlformats.org/officeDocument/2006/relationships/hyperlink" Target="https://pt.wikipedia.org/wiki/Santo_Ant%C3%B4nio_das_Miss%C3%B5es" TargetMode="External"/><Relationship Id="rId248" Type="http://schemas.openxmlformats.org/officeDocument/2006/relationships/hyperlink" Target="https://pt.wikipedia.org/wiki/Itaara" TargetMode="External"/><Relationship Id="rId455" Type="http://schemas.openxmlformats.org/officeDocument/2006/relationships/hyperlink" Target="https://pt.wikipedia.org/wiki/S%C3%A3o_Vicente_do_Sul" TargetMode="External"/><Relationship Id="rId497" Type="http://schemas.openxmlformats.org/officeDocument/2006/relationships/hyperlink" Target="https://pt.wikipedia.org/wiki/Tr%C3%AAs_Palmeiras" TargetMode="External"/><Relationship Id="rId12" Type="http://schemas.openxmlformats.org/officeDocument/2006/relationships/hyperlink" Target="https://pt.wikipedia.org/wiki/Alegrete_(Rio_Grande_do_Sul)" TargetMode="External"/><Relationship Id="rId108" Type="http://schemas.openxmlformats.org/officeDocument/2006/relationships/hyperlink" Target="https://pt.wikipedia.org/wiki/Campinas_do_Sul" TargetMode="External"/><Relationship Id="rId315" Type="http://schemas.openxmlformats.org/officeDocument/2006/relationships/hyperlink" Target="https://pt.wikipedia.org/wiki/Nova_Hartz" TargetMode="External"/><Relationship Id="rId357" Type="http://schemas.openxmlformats.org/officeDocument/2006/relationships/hyperlink" Target="https://pt.wikipedia.org/wiki/Piratini" TargetMode="External"/><Relationship Id="rId522" Type="http://schemas.openxmlformats.org/officeDocument/2006/relationships/hyperlink" Target="https://pt.wikipedia.org/wiki/Viam%C3%A3o" TargetMode="External"/><Relationship Id="rId54" Type="http://schemas.openxmlformats.org/officeDocument/2006/relationships/hyperlink" Target="https://pt.wikipedia.org/wiki/Arvorezinha" TargetMode="External"/><Relationship Id="rId96" Type="http://schemas.openxmlformats.org/officeDocument/2006/relationships/hyperlink" Target="https://pt.wikipedia.org/wiki/Ca%C3%A7apava_do_Sul" TargetMode="External"/><Relationship Id="rId161" Type="http://schemas.openxmlformats.org/officeDocument/2006/relationships/hyperlink" Target="https://pt.wikipedia.org/wiki/Cristal_do_Sul" TargetMode="External"/><Relationship Id="rId217" Type="http://schemas.openxmlformats.org/officeDocument/2006/relationships/hyperlink" Target="https://pt.wikipedia.org/wiki/Giru%C3%A1" TargetMode="External"/><Relationship Id="rId399" Type="http://schemas.openxmlformats.org/officeDocument/2006/relationships/hyperlink" Target="https://pt.wikipedia.org/wiki/Santa_B%C3%A1rbara_do_Sul" TargetMode="External"/><Relationship Id="rId259" Type="http://schemas.openxmlformats.org/officeDocument/2006/relationships/hyperlink" Target="https://pt.wikipedia.org/wiki/Jaguar%C3%A3o" TargetMode="External"/><Relationship Id="rId424" Type="http://schemas.openxmlformats.org/officeDocument/2006/relationships/hyperlink" Target="https://pt.wikipedia.org/wiki/S%C3%A3o_Jer%C3%B4nimo_(Rio_Grande_do_Sul)" TargetMode="External"/><Relationship Id="rId466" Type="http://schemas.openxmlformats.org/officeDocument/2006/relationships/hyperlink" Target="https://pt.wikipedia.org/wiki/S%C3%A9rio" TargetMode="External"/><Relationship Id="rId23" Type="http://schemas.openxmlformats.org/officeDocument/2006/relationships/hyperlink" Target="https://pt.wikipedia.org/wiki/Microrregi%C3%A3o_de_Frederico_Westphalen" TargetMode="External"/><Relationship Id="rId119" Type="http://schemas.openxmlformats.org/officeDocument/2006/relationships/hyperlink" Target="https://pt.wikipedia.org/wiki/Cap%C3%A3o_Bonito_do_Sul" TargetMode="External"/><Relationship Id="rId270" Type="http://schemas.openxmlformats.org/officeDocument/2006/relationships/hyperlink" Target="https://pt.wikipedia.org/wiki/Lajeado_do_Bugre" TargetMode="External"/><Relationship Id="rId326" Type="http://schemas.openxmlformats.org/officeDocument/2006/relationships/hyperlink" Target="https://pt.wikipedia.org/wiki/Novo_Machado" TargetMode="External"/><Relationship Id="rId533" Type="http://schemas.openxmlformats.org/officeDocument/2006/relationships/hyperlink" Target="https://pt.wikipedia.org/wiki/Westf%C3%A1lia_(Rio_Grande_do_Sul)" TargetMode="External"/><Relationship Id="rId65" Type="http://schemas.openxmlformats.org/officeDocument/2006/relationships/hyperlink" Target="https://pt.wikipedia.org/wiki/Microrregi%C3%A3o_de_S%C3%A3o_Jer%C3%B4nimo" TargetMode="External"/><Relationship Id="rId130" Type="http://schemas.openxmlformats.org/officeDocument/2006/relationships/hyperlink" Target="https://pt.wikipedia.org/wiki/Casca_(Rio_Grande_do_Sul)" TargetMode="External"/><Relationship Id="rId368" Type="http://schemas.openxmlformats.org/officeDocument/2006/relationships/hyperlink" Target="https://pt.wikipedia.org/wiki/Pouso_Novo" TargetMode="External"/><Relationship Id="rId172" Type="http://schemas.openxmlformats.org/officeDocument/2006/relationships/hyperlink" Target="https://pt.wikipedia.org/wiki/Dom_Feliciano" TargetMode="External"/><Relationship Id="rId228" Type="http://schemas.openxmlformats.org/officeDocument/2006/relationships/hyperlink" Target="https://pt.wikipedia.org/wiki/Herval" TargetMode="External"/><Relationship Id="rId435" Type="http://schemas.openxmlformats.org/officeDocument/2006/relationships/hyperlink" Target="https://pt.wikipedia.org/wiki/S%C3%A3o_Jos%C3%A9_dos_Ausentes" TargetMode="External"/><Relationship Id="rId477" Type="http://schemas.openxmlformats.org/officeDocument/2006/relationships/hyperlink" Target="https://pt.wikipedia.org/wiki/Tapera" TargetMode="External"/><Relationship Id="rId281" Type="http://schemas.openxmlformats.org/officeDocument/2006/relationships/hyperlink" Target="https://pt.wikipedia.org/wiki/Marau" TargetMode="External"/><Relationship Id="rId337" Type="http://schemas.openxmlformats.org/officeDocument/2006/relationships/hyperlink" Target="https://pt.wikipedia.org/wiki/Para%C3%ADso_do_Sul" TargetMode="External"/><Relationship Id="rId502" Type="http://schemas.openxmlformats.org/officeDocument/2006/relationships/hyperlink" Target="https://pt.wikipedia.org/wiki/Tunas" TargetMode="External"/><Relationship Id="rId34" Type="http://schemas.openxmlformats.org/officeDocument/2006/relationships/hyperlink" Target="https://pt.wikipedia.org/wiki/Ant%C3%B4nio_Prado" TargetMode="External"/><Relationship Id="rId76" Type="http://schemas.openxmlformats.org/officeDocument/2006/relationships/hyperlink" Target="https://pt.wikipedia.org/wiki/Barra_Funda" TargetMode="External"/><Relationship Id="rId141" Type="http://schemas.openxmlformats.org/officeDocument/2006/relationships/hyperlink" Target="https://pt.wikipedia.org/wiki/Charqueadas" TargetMode="External"/><Relationship Id="rId379" Type="http://schemas.openxmlformats.org/officeDocument/2006/relationships/hyperlink" Target="https://pt.wikipedia.org/wiki/Restinga_S%C3%AAca" TargetMode="External"/><Relationship Id="rId7" Type="http://schemas.openxmlformats.org/officeDocument/2006/relationships/hyperlink" Target="https://pt.wikipedia.org/wiki/Microrregi%C3%A3o_da_Campanha_Central" TargetMode="External"/><Relationship Id="rId183" Type="http://schemas.openxmlformats.org/officeDocument/2006/relationships/hyperlink" Target="https://pt.wikipedia.org/wiki/Entre-Iju%C3%ADs" TargetMode="External"/><Relationship Id="rId239" Type="http://schemas.openxmlformats.org/officeDocument/2006/relationships/hyperlink" Target="https://pt.wikipedia.org/wiki/Iju%C3%AD" TargetMode="External"/><Relationship Id="rId390" Type="http://schemas.openxmlformats.org/officeDocument/2006/relationships/hyperlink" Target="https://pt.wikipedia.org/wiki/Roque_Gonzales" TargetMode="External"/><Relationship Id="rId404" Type="http://schemas.openxmlformats.org/officeDocument/2006/relationships/hyperlink" Target="https://pt.wikipedia.org/wiki/Santa_Maria_(Rio_Grande_do_Sul)" TargetMode="External"/><Relationship Id="rId446" Type="http://schemas.openxmlformats.org/officeDocument/2006/relationships/hyperlink" Target="https://pt.wikipedia.org/wiki/S%C3%A3o_Pedro_das_Miss%C3%B5es" TargetMode="External"/><Relationship Id="rId250" Type="http://schemas.openxmlformats.org/officeDocument/2006/relationships/hyperlink" Target="https://pt.wikipedia.org/wiki/Itapuca" TargetMode="External"/><Relationship Id="rId292" Type="http://schemas.openxmlformats.org/officeDocument/2006/relationships/hyperlink" Target="https://pt.wikipedia.org/wiki/Miragua%C3%AD" TargetMode="External"/><Relationship Id="rId306" Type="http://schemas.openxmlformats.org/officeDocument/2006/relationships/hyperlink" Target="https://pt.wikipedia.org/wiki/Nicolau_Vergueiro" TargetMode="External"/><Relationship Id="rId488" Type="http://schemas.openxmlformats.org/officeDocument/2006/relationships/hyperlink" Target="https://pt.wikipedia.org/wiki/Toropi" TargetMode="External"/><Relationship Id="rId45" Type="http://schemas.openxmlformats.org/officeDocument/2006/relationships/hyperlink" Target="https://pt.wikipedia.org/wiki/Microrregi%C3%A3o_de_Passo_Fundo" TargetMode="External"/><Relationship Id="rId87" Type="http://schemas.openxmlformats.org/officeDocument/2006/relationships/hyperlink" Target="https://pt.wikipedia.org/wiki/Bom_Princ%C3%ADpio" TargetMode="External"/><Relationship Id="rId110" Type="http://schemas.openxmlformats.org/officeDocument/2006/relationships/hyperlink" Target="https://pt.wikipedia.org/wiki/Campo_Novo" TargetMode="External"/><Relationship Id="rId348" Type="http://schemas.openxmlformats.org/officeDocument/2006/relationships/hyperlink" Target="https://pt.wikipedia.org/wiki/Pelotas" TargetMode="External"/><Relationship Id="rId513" Type="http://schemas.openxmlformats.org/officeDocument/2006/relationships/hyperlink" Target="https://pt.wikipedia.org/wiki/Vale_do_Sol" TargetMode="External"/><Relationship Id="rId152" Type="http://schemas.openxmlformats.org/officeDocument/2006/relationships/hyperlink" Target="https://pt.wikipedia.org/wiki/Coqueiro_Baixo" TargetMode="External"/><Relationship Id="rId194" Type="http://schemas.openxmlformats.org/officeDocument/2006/relationships/hyperlink" Target="https://pt.wikipedia.org/wiki/Esteio" TargetMode="External"/><Relationship Id="rId208" Type="http://schemas.openxmlformats.org/officeDocument/2006/relationships/hyperlink" Target="https://pt.wikipedia.org/wiki/Forquetinha" TargetMode="External"/><Relationship Id="rId415" Type="http://schemas.openxmlformats.org/officeDocument/2006/relationships/hyperlink" Target="https://pt.wikipedia.org/wiki/Santo_Ant%C3%B4nio_do_Planalto" TargetMode="External"/><Relationship Id="rId457" Type="http://schemas.openxmlformats.org/officeDocument/2006/relationships/hyperlink" Target="https://pt.wikipedia.org/wiki/Sapucaia_do_Sul" TargetMode="External"/><Relationship Id="rId261" Type="http://schemas.openxmlformats.org/officeDocument/2006/relationships/hyperlink" Target="https://pt.wikipedia.org/wiki/Jaquirana" TargetMode="External"/><Relationship Id="rId499" Type="http://schemas.openxmlformats.org/officeDocument/2006/relationships/hyperlink" Target="https://pt.wikipedia.org/wiki/Trindade_do_Sul" TargetMode="External"/><Relationship Id="rId14" Type="http://schemas.openxmlformats.org/officeDocument/2006/relationships/hyperlink" Target="https://pt.wikipedia.org/wiki/Alegria_(Rio_Grande_do_Sul)" TargetMode="External"/><Relationship Id="rId56" Type="http://schemas.openxmlformats.org/officeDocument/2006/relationships/hyperlink" Target="https://pt.wikipedia.org/wiki/Augusto_Pestana_(Rio_Grande_do_Sul)" TargetMode="External"/><Relationship Id="rId317" Type="http://schemas.openxmlformats.org/officeDocument/2006/relationships/hyperlink" Target="https://pt.wikipedia.org/wiki/Nova_Palma" TargetMode="External"/><Relationship Id="rId359" Type="http://schemas.openxmlformats.org/officeDocument/2006/relationships/hyperlink" Target="https://pt.wikipedia.org/wiki/Po%C3%A7o_das_Antas" TargetMode="External"/><Relationship Id="rId524" Type="http://schemas.openxmlformats.org/officeDocument/2006/relationships/hyperlink" Target="https://pt.wikipedia.org/wiki/Victor_Graeff" TargetMode="External"/><Relationship Id="rId98" Type="http://schemas.openxmlformats.org/officeDocument/2006/relationships/hyperlink" Target="https://pt.wikipedia.org/wiki/Cachoeira_do_Sul" TargetMode="External"/><Relationship Id="rId121" Type="http://schemas.openxmlformats.org/officeDocument/2006/relationships/hyperlink" Target="https://pt.wikipedia.org/wiki/Cap%C3%A3o_do_Cip%C3%B3" TargetMode="External"/><Relationship Id="rId163" Type="http://schemas.openxmlformats.org/officeDocument/2006/relationships/hyperlink" Target="https://pt.wikipedia.org/wiki/Cruzaltense" TargetMode="External"/><Relationship Id="rId219" Type="http://schemas.openxmlformats.org/officeDocument/2006/relationships/hyperlink" Target="https://pt.wikipedia.org/wiki/Gramado" TargetMode="External"/><Relationship Id="rId370" Type="http://schemas.openxmlformats.org/officeDocument/2006/relationships/hyperlink" Target="https://pt.wikipedia.org/wiki/Progresso_(Rio_Grande_do_Sul)" TargetMode="External"/><Relationship Id="rId426" Type="http://schemas.openxmlformats.org/officeDocument/2006/relationships/hyperlink" Target="https://pt.wikipedia.org/wiki/S%C3%A3o_Jo%C3%A3o_do_Pol%C3%AAsine" TargetMode="External"/><Relationship Id="rId230" Type="http://schemas.openxmlformats.org/officeDocument/2006/relationships/hyperlink" Target="https://pt.wikipedia.org/wiki/Horizontina" TargetMode="External"/><Relationship Id="rId468" Type="http://schemas.openxmlformats.org/officeDocument/2006/relationships/hyperlink" Target="https://pt.wikipedia.org/wiki/Sert%C3%A3o_Santana" TargetMode="External"/><Relationship Id="rId25" Type="http://schemas.openxmlformats.org/officeDocument/2006/relationships/hyperlink" Target="https://pt.wikipedia.org/wiki/Microrregi%C3%A3o_de_Gramado-Canela" TargetMode="External"/><Relationship Id="rId67" Type="http://schemas.openxmlformats.org/officeDocument/2006/relationships/hyperlink" Target="https://pt.wikipedia.org/wiki/Microrregi%C3%A3o_das_Serras_de_Sudeste" TargetMode="External"/><Relationship Id="rId272" Type="http://schemas.openxmlformats.org/officeDocument/2006/relationships/hyperlink" Target="https://pt.wikipedia.org/wiki/Liberato_Salzano" TargetMode="External"/><Relationship Id="rId328" Type="http://schemas.openxmlformats.org/officeDocument/2006/relationships/hyperlink" Target="https://pt.wikipedia.org/wiki/Novo_Xingu" TargetMode="External"/><Relationship Id="rId132" Type="http://schemas.openxmlformats.org/officeDocument/2006/relationships/hyperlink" Target="https://pt.wikipedia.org/wiki/Catu%C3%ADpe" TargetMode="External"/><Relationship Id="rId174" Type="http://schemas.openxmlformats.org/officeDocument/2006/relationships/hyperlink" Target="https://pt.wikipedia.org/wiki/Dom_Pedro_de_Alc%C3%A2ntara" TargetMode="External"/><Relationship Id="rId381" Type="http://schemas.openxmlformats.org/officeDocument/2006/relationships/hyperlink" Target="https://pt.wikipedia.org/wiki/Rio_Grande_(Rio_Grande_do_Sul)" TargetMode="External"/><Relationship Id="rId241" Type="http://schemas.openxmlformats.org/officeDocument/2006/relationships/hyperlink" Target="https://pt.wikipedia.org/wiki/Imb%C3%A9" TargetMode="External"/><Relationship Id="rId437" Type="http://schemas.openxmlformats.org/officeDocument/2006/relationships/hyperlink" Target="https://pt.wikipedia.org/wiki/S%C3%A3o_Louren%C3%A7o_do_Sul" TargetMode="External"/><Relationship Id="rId479" Type="http://schemas.openxmlformats.org/officeDocument/2006/relationships/hyperlink" Target="https://pt.wikipedia.org/wiki/Taquara_(Rio_Grande_do_Sul)" TargetMode="External"/><Relationship Id="rId36" Type="http://schemas.openxmlformats.org/officeDocument/2006/relationships/hyperlink" Target="https://pt.wikipedia.org/wiki/Arambar%C3%A9" TargetMode="External"/><Relationship Id="rId283" Type="http://schemas.openxmlformats.org/officeDocument/2006/relationships/hyperlink" Target="https://pt.wikipedia.org/wiki/Mariana_Pimentel" TargetMode="External"/><Relationship Id="rId339" Type="http://schemas.openxmlformats.org/officeDocument/2006/relationships/hyperlink" Target="https://pt.wikipedia.org/wiki/Parob%C3%A9" TargetMode="External"/><Relationship Id="rId490" Type="http://schemas.openxmlformats.org/officeDocument/2006/relationships/hyperlink" Target="https://pt.wikipedia.org/wiki/Tramanda%C3%AD" TargetMode="External"/><Relationship Id="rId504" Type="http://schemas.openxmlformats.org/officeDocument/2006/relationships/hyperlink" Target="https://pt.wikipedia.org/wiki/Tupanciret%C3%A3" TargetMode="External"/><Relationship Id="rId78" Type="http://schemas.openxmlformats.org/officeDocument/2006/relationships/hyperlink" Target="https://pt.wikipedia.org/wiki/Barros_Cassal" TargetMode="External"/><Relationship Id="rId101" Type="http://schemas.openxmlformats.org/officeDocument/2006/relationships/hyperlink" Target="https://pt.wikipedia.org/wiki/Caibat%C3%A9" TargetMode="External"/><Relationship Id="rId143" Type="http://schemas.openxmlformats.org/officeDocument/2006/relationships/hyperlink" Target="https://pt.wikipedia.org/wiki/Chiapetta" TargetMode="External"/><Relationship Id="rId185" Type="http://schemas.openxmlformats.org/officeDocument/2006/relationships/hyperlink" Target="https://pt.wikipedia.org/wiki/Erechim" TargetMode="External"/><Relationship Id="rId350" Type="http://schemas.openxmlformats.org/officeDocument/2006/relationships/hyperlink" Target="https://pt.wikipedia.org/wiki/Pinhal_(Rio_Grande_do_Sul)" TargetMode="External"/><Relationship Id="rId406" Type="http://schemas.openxmlformats.org/officeDocument/2006/relationships/hyperlink" Target="https://pt.wikipedia.org/wiki/Santa_Rosa" TargetMode="External"/><Relationship Id="rId9" Type="http://schemas.openxmlformats.org/officeDocument/2006/relationships/hyperlink" Target="https://pt.wikipedia.org/wiki/Microrregi%C3%A3o_da_Campanha_Meridional" TargetMode="External"/><Relationship Id="rId210" Type="http://schemas.openxmlformats.org/officeDocument/2006/relationships/hyperlink" Target="https://pt.wikipedia.org/wiki/Frederico_Westphalen_(Rio_Grande_do_Sul)" TargetMode="External"/><Relationship Id="rId392" Type="http://schemas.openxmlformats.org/officeDocument/2006/relationships/hyperlink" Target="https://pt.wikipedia.org/wiki/Sagrada_Fam%C3%ADlia_(Rio_Grande_do_Sul)" TargetMode="External"/><Relationship Id="rId448" Type="http://schemas.openxmlformats.org/officeDocument/2006/relationships/hyperlink" Target="https://pt.wikipedia.org/wiki/S%C3%A3o_Pedro_do_Sul_(Rio_Grande_do_Sul)" TargetMode="External"/><Relationship Id="rId252" Type="http://schemas.openxmlformats.org/officeDocument/2006/relationships/hyperlink" Target="https://pt.wikipedia.org/wiki/Itati" TargetMode="External"/><Relationship Id="rId294" Type="http://schemas.openxmlformats.org/officeDocument/2006/relationships/hyperlink" Target="https://pt.wikipedia.org/wiki/Monte_Alegre_dos_Campos" TargetMode="External"/><Relationship Id="rId308" Type="http://schemas.openxmlformats.org/officeDocument/2006/relationships/hyperlink" Target="https://pt.wikipedia.org/wiki/Nova_Alvorada" TargetMode="External"/><Relationship Id="rId515" Type="http://schemas.openxmlformats.org/officeDocument/2006/relationships/hyperlink" Target="https://pt.wikipedia.org/wiki/Vale_Verde_(Rio_Grande_do_Sul)" TargetMode="External"/><Relationship Id="rId47" Type="http://schemas.openxmlformats.org/officeDocument/2006/relationships/hyperlink" Target="https://pt.wikipedia.org/wiki/Microrregi%C3%A3o_de_Pelotas" TargetMode="External"/><Relationship Id="rId89" Type="http://schemas.openxmlformats.org/officeDocument/2006/relationships/hyperlink" Target="https://pt.wikipedia.org/wiki/Bom_Retiro_do_Sul" TargetMode="External"/><Relationship Id="rId112" Type="http://schemas.openxmlformats.org/officeDocument/2006/relationships/hyperlink" Target="https://pt.wikipedia.org/wiki/Candel%C3%A1ria_(Rio_Grande_do_Sul)" TargetMode="External"/><Relationship Id="rId154" Type="http://schemas.openxmlformats.org/officeDocument/2006/relationships/hyperlink" Target="https://pt.wikipedia.org/wiki/Coronel_Barros" TargetMode="External"/><Relationship Id="rId361" Type="http://schemas.openxmlformats.org/officeDocument/2006/relationships/hyperlink" Target="https://pt.wikipedia.org/wiki/Ponte_Preta_(Rio_Grande_do_Sul)" TargetMode="External"/><Relationship Id="rId196" Type="http://schemas.openxmlformats.org/officeDocument/2006/relationships/hyperlink" Target="https://pt.wikipedia.org/wiki/Estrela_Velha" TargetMode="External"/><Relationship Id="rId417" Type="http://schemas.openxmlformats.org/officeDocument/2006/relationships/hyperlink" Target="https://pt.wikipedia.org/wiki/Santo_Cristo" TargetMode="External"/><Relationship Id="rId459" Type="http://schemas.openxmlformats.org/officeDocument/2006/relationships/hyperlink" Target="https://pt.wikipedia.org/wiki/Seberi" TargetMode="External"/><Relationship Id="rId16" Type="http://schemas.openxmlformats.org/officeDocument/2006/relationships/hyperlink" Target="https://pt.wikipedia.org/wiki/Almirante_Tamandar%C3%A9_do_Sul" TargetMode="External"/><Relationship Id="rId221" Type="http://schemas.openxmlformats.org/officeDocument/2006/relationships/hyperlink" Target="https://pt.wikipedia.org/wiki/Gramado_Xavier" TargetMode="External"/><Relationship Id="rId263" Type="http://schemas.openxmlformats.org/officeDocument/2006/relationships/hyperlink" Target="https://pt.wikipedia.org/wiki/J%C3%B3ia" TargetMode="External"/><Relationship Id="rId319" Type="http://schemas.openxmlformats.org/officeDocument/2006/relationships/hyperlink" Target="https://pt.wikipedia.org/wiki/Nova_Prata" TargetMode="External"/><Relationship Id="rId470" Type="http://schemas.openxmlformats.org/officeDocument/2006/relationships/hyperlink" Target="https://pt.wikipedia.org/wiki/Severiano_de_Almeida" TargetMode="External"/><Relationship Id="rId526" Type="http://schemas.openxmlformats.org/officeDocument/2006/relationships/hyperlink" Target="https://pt.wikipedia.org/wiki/Vila_L%C3%A2ngaro" TargetMode="External"/><Relationship Id="rId58" Type="http://schemas.openxmlformats.org/officeDocument/2006/relationships/hyperlink" Target="https://pt.wikipedia.org/wiki/%C3%81urea" TargetMode="External"/><Relationship Id="rId123" Type="http://schemas.openxmlformats.org/officeDocument/2006/relationships/hyperlink" Target="https://pt.wikipedia.org/wiki/Capela_de_Santana" TargetMode="External"/><Relationship Id="rId330" Type="http://schemas.openxmlformats.org/officeDocument/2006/relationships/hyperlink" Target="https://pt.wikipedia.org/wiki/Paim_Filho" TargetMode="External"/><Relationship Id="rId165" Type="http://schemas.openxmlformats.org/officeDocument/2006/relationships/hyperlink" Target="https://pt.wikipedia.org/wiki/David_Canabarro_(Rio_Grande_do_Sul)" TargetMode="External"/><Relationship Id="rId372" Type="http://schemas.openxmlformats.org/officeDocument/2006/relationships/hyperlink" Target="https://pt.wikipedia.org/wiki/Putinga" TargetMode="External"/><Relationship Id="rId428" Type="http://schemas.openxmlformats.org/officeDocument/2006/relationships/hyperlink" Target="https://pt.wikipedia.org/wiki/S%C3%A3o_Jos%C3%A9_das_Miss%C3%B5es" TargetMode="External"/><Relationship Id="rId232" Type="http://schemas.openxmlformats.org/officeDocument/2006/relationships/hyperlink" Target="https://pt.wikipedia.org/wiki/Humait%C3%A1_(Rio_Grande_do_Sul)" TargetMode="External"/><Relationship Id="rId274" Type="http://schemas.openxmlformats.org/officeDocument/2006/relationships/hyperlink" Target="https://pt.wikipedia.org/wiki/Linha_Nova" TargetMode="External"/><Relationship Id="rId481" Type="http://schemas.openxmlformats.org/officeDocument/2006/relationships/hyperlink" Target="https://pt.wikipedia.org/wiki/Taquaru%C3%A7u_do_Sul" TargetMode="External"/><Relationship Id="rId27" Type="http://schemas.openxmlformats.org/officeDocument/2006/relationships/hyperlink" Target="https://pt.wikipedia.org/wiki/Microrregi%C3%A3o_de_Guapor%C3%A9" TargetMode="External"/><Relationship Id="rId69" Type="http://schemas.openxmlformats.org/officeDocument/2006/relationships/hyperlink" Target="https://pt.wikipedia.org/wiki/Microrregi%C3%A3o_de_Soledade" TargetMode="External"/><Relationship Id="rId134" Type="http://schemas.openxmlformats.org/officeDocument/2006/relationships/hyperlink" Target="https://pt.wikipedia.org/wiki/Centen%C3%A1rio_(Rio_Grande_do_Sul)" TargetMode="External"/><Relationship Id="rId80" Type="http://schemas.openxmlformats.org/officeDocument/2006/relationships/hyperlink" Target="https://pt.wikipedia.org/wiki/Bento_Gon%C3%A7alves_(Rio_Grande_do_Sul)" TargetMode="External"/><Relationship Id="rId176" Type="http://schemas.openxmlformats.org/officeDocument/2006/relationships/hyperlink" Target="https://pt.wikipedia.org/wiki/Doutor_Maur%C3%ADcio_Cardoso" TargetMode="External"/><Relationship Id="rId341" Type="http://schemas.openxmlformats.org/officeDocument/2006/relationships/hyperlink" Target="https://pt.wikipedia.org/wiki/Passo_do_Sobrado" TargetMode="External"/><Relationship Id="rId383" Type="http://schemas.openxmlformats.org/officeDocument/2006/relationships/hyperlink" Target="https://pt.wikipedia.org/wiki/Riozinho" TargetMode="External"/><Relationship Id="rId439" Type="http://schemas.openxmlformats.org/officeDocument/2006/relationships/hyperlink" Target="https://pt.wikipedia.org/wiki/S%C3%A3o_Marcos_(Rio_Grande_do_Sul)" TargetMode="External"/><Relationship Id="rId201" Type="http://schemas.openxmlformats.org/officeDocument/2006/relationships/hyperlink" Target="https://pt.wikipedia.org/wiki/Faxinalzinho" TargetMode="External"/><Relationship Id="rId243" Type="http://schemas.openxmlformats.org/officeDocument/2006/relationships/hyperlink" Target="https://pt.wikipedia.org/wiki/Independ%C3%AAncia_(Rio_Grande_do_Sul)" TargetMode="External"/><Relationship Id="rId285" Type="http://schemas.openxmlformats.org/officeDocument/2006/relationships/hyperlink" Target="https://pt.wikipedia.org/wiki/Marques_de_Souza" TargetMode="External"/><Relationship Id="rId450" Type="http://schemas.openxmlformats.org/officeDocument/2006/relationships/hyperlink" Target="https://pt.wikipedia.org/wiki/S%C3%A3o_Sep%C3%A9" TargetMode="External"/><Relationship Id="rId506" Type="http://schemas.openxmlformats.org/officeDocument/2006/relationships/hyperlink" Target="https://pt.wikipedia.org/wiki/Tuparendi" TargetMode="External"/><Relationship Id="rId38" Type="http://schemas.openxmlformats.org/officeDocument/2006/relationships/hyperlink" Target="https://pt.wikipedia.org/wiki/Araric%C3%A1" TargetMode="External"/><Relationship Id="rId103" Type="http://schemas.openxmlformats.org/officeDocument/2006/relationships/hyperlink" Target="https://pt.wikipedia.org/wiki/Camaqu%C3%A3" TargetMode="External"/><Relationship Id="rId310" Type="http://schemas.openxmlformats.org/officeDocument/2006/relationships/hyperlink" Target="https://pt.wikipedia.org/wiki/Nova_Bassano" TargetMode="External"/><Relationship Id="rId492" Type="http://schemas.openxmlformats.org/officeDocument/2006/relationships/hyperlink" Target="https://pt.wikipedia.org/wiki/Tr%C3%AAs_Arroios" TargetMode="External"/><Relationship Id="rId91" Type="http://schemas.openxmlformats.org/officeDocument/2006/relationships/hyperlink" Target="https://pt.wikipedia.org/wiki/Bossoroca" TargetMode="External"/><Relationship Id="rId145" Type="http://schemas.openxmlformats.org/officeDocument/2006/relationships/hyperlink" Target="https://pt.wikipedia.org/wiki/Chuvisca" TargetMode="External"/><Relationship Id="rId187" Type="http://schemas.openxmlformats.org/officeDocument/2006/relationships/hyperlink" Target="https://pt.wikipedia.org/wiki/Erval_Grande" TargetMode="External"/><Relationship Id="rId352" Type="http://schemas.openxmlformats.org/officeDocument/2006/relationships/hyperlink" Target="https://pt.wikipedia.org/wiki/Pinhal_Grande" TargetMode="External"/><Relationship Id="rId394" Type="http://schemas.openxmlformats.org/officeDocument/2006/relationships/hyperlink" Target="https://pt.wikipedia.org/wiki/Salto_do_Jacu%C3%AD" TargetMode="External"/><Relationship Id="rId408" Type="http://schemas.openxmlformats.org/officeDocument/2006/relationships/hyperlink" Target="https://pt.wikipedia.org/wiki/Santa_Vit%C3%B3ria_do_Palmar" TargetMode="External"/><Relationship Id="rId212" Type="http://schemas.openxmlformats.org/officeDocument/2006/relationships/hyperlink" Target="https://pt.wikipedia.org/wiki/Garruchos" TargetMode="External"/><Relationship Id="rId254" Type="http://schemas.openxmlformats.org/officeDocument/2006/relationships/hyperlink" Target="https://pt.wikipedia.org/wiki/Ivor%C3%A1" TargetMode="External"/><Relationship Id="rId49" Type="http://schemas.openxmlformats.org/officeDocument/2006/relationships/hyperlink" Target="https://pt.wikipedia.org/wiki/Microrregi%C3%A3o_de_Porto_Alegre" TargetMode="External"/><Relationship Id="rId114" Type="http://schemas.openxmlformats.org/officeDocument/2006/relationships/hyperlink" Target="https://pt.wikipedia.org/wiki/Candiota" TargetMode="External"/><Relationship Id="rId296" Type="http://schemas.openxmlformats.org/officeDocument/2006/relationships/hyperlink" Target="https://pt.wikipedia.org/wiki/Montenegro_(Rio_Grande_do_Sul)" TargetMode="External"/><Relationship Id="rId461" Type="http://schemas.openxmlformats.org/officeDocument/2006/relationships/hyperlink" Target="https://pt.wikipedia.org/wiki/Segredo_(Rio_Grande_do_Sul)" TargetMode="External"/><Relationship Id="rId517" Type="http://schemas.openxmlformats.org/officeDocument/2006/relationships/hyperlink" Target="https://pt.wikipedia.org/wiki/Ven%C3%A2ncio_Aires" TargetMode="External"/><Relationship Id="rId60" Type="http://schemas.openxmlformats.org/officeDocument/2006/relationships/hyperlink" Target="https://pt.wikipedia.org/wiki/Bag%C3%A9" TargetMode="External"/><Relationship Id="rId156" Type="http://schemas.openxmlformats.org/officeDocument/2006/relationships/hyperlink" Target="https://pt.wikipedia.org/wiki/Coronel_Pilar" TargetMode="External"/><Relationship Id="rId198" Type="http://schemas.openxmlformats.org/officeDocument/2006/relationships/hyperlink" Target="https://pt.wikipedia.org/wiki/Fagundes_Varela_(Rio_Grande_do_Sul)" TargetMode="External"/><Relationship Id="rId321" Type="http://schemas.openxmlformats.org/officeDocument/2006/relationships/hyperlink" Target="https://pt.wikipedia.org/wiki/Nova_Roma_do_Sul" TargetMode="External"/><Relationship Id="rId363" Type="http://schemas.openxmlformats.org/officeDocument/2006/relationships/hyperlink" Target="https://pt.wikipedia.org/wiki/Porto_Alegre" TargetMode="External"/><Relationship Id="rId419" Type="http://schemas.openxmlformats.org/officeDocument/2006/relationships/hyperlink" Target="https://pt.wikipedia.org/wiki/S%C3%A3o_Borja" TargetMode="External"/><Relationship Id="rId223" Type="http://schemas.openxmlformats.org/officeDocument/2006/relationships/hyperlink" Target="https://pt.wikipedia.org/wiki/Guabiju" TargetMode="External"/><Relationship Id="rId430" Type="http://schemas.openxmlformats.org/officeDocument/2006/relationships/hyperlink" Target="https://pt.wikipedia.org/wiki/S%C3%A3o_Jos%C3%A9_do_Hort%C3%AAncio" TargetMode="External"/><Relationship Id="rId18" Type="http://schemas.openxmlformats.org/officeDocument/2006/relationships/hyperlink" Target="https://pt.wikipedia.org/wiki/Alpestre" TargetMode="External"/><Relationship Id="rId265" Type="http://schemas.openxmlformats.org/officeDocument/2006/relationships/hyperlink" Target="https://pt.wikipedia.org/wiki/Lagoa_Bonita_do_Sul" TargetMode="External"/><Relationship Id="rId472" Type="http://schemas.openxmlformats.org/officeDocument/2006/relationships/hyperlink" Target="https://pt.wikipedia.org/wiki/Sinimbu" TargetMode="External"/><Relationship Id="rId528" Type="http://schemas.openxmlformats.org/officeDocument/2006/relationships/hyperlink" Target="https://pt.wikipedia.org/wiki/Vila_Nova_do_Sul" TargetMode="External"/><Relationship Id="rId125" Type="http://schemas.openxmlformats.org/officeDocument/2006/relationships/hyperlink" Target="https://pt.wikipedia.org/wiki/Capivari_do_Sul" TargetMode="External"/><Relationship Id="rId167" Type="http://schemas.openxmlformats.org/officeDocument/2006/relationships/hyperlink" Target="https://pt.wikipedia.org/wiki/Dezesseis_de_Novembro" TargetMode="External"/><Relationship Id="rId332" Type="http://schemas.openxmlformats.org/officeDocument/2006/relationships/hyperlink" Target="https://pt.wikipedia.org/wiki/Palmeira_das_Miss%C3%B5es" TargetMode="External"/><Relationship Id="rId374" Type="http://schemas.openxmlformats.org/officeDocument/2006/relationships/hyperlink" Target="https://pt.wikipedia.org/wiki/Quatro_Irm%C3%A3os" TargetMode="External"/><Relationship Id="rId71" Type="http://schemas.openxmlformats.org/officeDocument/2006/relationships/hyperlink" Target="https://pt.wikipedia.org/wiki/Microrregi%C3%A3o_de_Tr%C3%AAs_Passos" TargetMode="External"/><Relationship Id="rId234" Type="http://schemas.openxmlformats.org/officeDocument/2006/relationships/hyperlink" Target="https://pt.wikipedia.org/wiki/Ibia%C3%A7%C3%A1" TargetMode="External"/><Relationship Id="rId2" Type="http://schemas.openxmlformats.org/officeDocument/2006/relationships/hyperlink" Target="https://pt.wikipedia.org/wiki/Acegu%C3%A1" TargetMode="External"/><Relationship Id="rId29" Type="http://schemas.openxmlformats.org/officeDocument/2006/relationships/hyperlink" Target="https://pt.wikipedia.org/wiki/Microrregi%C3%A3o_de_Iju%C3%AD" TargetMode="External"/><Relationship Id="rId276" Type="http://schemas.openxmlformats.org/officeDocument/2006/relationships/hyperlink" Target="https://pt.wikipedia.org/wiki/Machadinho" TargetMode="External"/><Relationship Id="rId441" Type="http://schemas.openxmlformats.org/officeDocument/2006/relationships/hyperlink" Target="https://pt.wikipedia.org/wiki/S%C3%A3o_Martinho_da_Serra" TargetMode="External"/><Relationship Id="rId483" Type="http://schemas.openxmlformats.org/officeDocument/2006/relationships/hyperlink" Target="https://pt.wikipedia.org/wiki/Tenente_Portela" TargetMode="External"/><Relationship Id="rId40" Type="http://schemas.openxmlformats.org/officeDocument/2006/relationships/hyperlink" Target="https://pt.wikipedia.org/wiki/Aratiba" TargetMode="External"/><Relationship Id="rId136" Type="http://schemas.openxmlformats.org/officeDocument/2006/relationships/hyperlink" Target="https://pt.wikipedia.org/wiki/Cerro_Branco" TargetMode="External"/><Relationship Id="rId178" Type="http://schemas.openxmlformats.org/officeDocument/2006/relationships/hyperlink" Target="https://pt.wikipedia.org/wiki/Eldorado_do_Sul" TargetMode="External"/><Relationship Id="rId301" Type="http://schemas.openxmlformats.org/officeDocument/2006/relationships/hyperlink" Target="https://pt.wikipedia.org/wiki/Mostardas" TargetMode="External"/><Relationship Id="rId343" Type="http://schemas.openxmlformats.org/officeDocument/2006/relationships/hyperlink" Target="https://pt.wikipedia.org/wiki/Paulo_Bento" TargetMode="External"/><Relationship Id="rId82" Type="http://schemas.openxmlformats.org/officeDocument/2006/relationships/hyperlink" Target="https://pt.wikipedia.org/wiki/Boa_Vista_do_Buric%C3%A1" TargetMode="External"/><Relationship Id="rId203" Type="http://schemas.openxmlformats.org/officeDocument/2006/relationships/hyperlink" Target="https://pt.wikipedia.org/wiki/Feliz" TargetMode="External"/><Relationship Id="rId385" Type="http://schemas.openxmlformats.org/officeDocument/2006/relationships/hyperlink" Target="https://pt.wikipedia.org/wiki/Rodeio_Bonito" TargetMode="External"/><Relationship Id="rId245" Type="http://schemas.openxmlformats.org/officeDocument/2006/relationships/hyperlink" Target="https://pt.wikipedia.org/wiki/Ip%C3%AA_(Rio_Grande_do_Sul)" TargetMode="External"/><Relationship Id="rId287" Type="http://schemas.openxmlformats.org/officeDocument/2006/relationships/hyperlink" Target="https://pt.wikipedia.org/wiki/Mato_Castelhano" TargetMode="External"/><Relationship Id="rId410" Type="http://schemas.openxmlformats.org/officeDocument/2006/relationships/hyperlink" Target="https://pt.wikipedia.org/wiki/Santiago_(Rio_Grande_do_Sul)" TargetMode="External"/><Relationship Id="rId452" Type="http://schemas.openxmlformats.org/officeDocument/2006/relationships/hyperlink" Target="https://pt.wikipedia.org/wiki/S%C3%A3o_Valentim_do_Sul" TargetMode="External"/><Relationship Id="rId494" Type="http://schemas.openxmlformats.org/officeDocument/2006/relationships/hyperlink" Target="https://pt.wikipedia.org/wiki/Tr%C3%AAs_Coroas" TargetMode="External"/><Relationship Id="rId508" Type="http://schemas.openxmlformats.org/officeDocument/2006/relationships/hyperlink" Target="https://pt.wikipedia.org/wiki/Ubiretama" TargetMode="External"/><Relationship Id="rId105" Type="http://schemas.openxmlformats.org/officeDocument/2006/relationships/hyperlink" Target="https://pt.wikipedia.org/wiki/Cambar%C3%A1_do_Sul" TargetMode="External"/><Relationship Id="rId147" Type="http://schemas.openxmlformats.org/officeDocument/2006/relationships/hyperlink" Target="https://pt.wikipedia.org/wiki/Cir%C3%ADaco_(Rio_Grande_do_Sul)" TargetMode="External"/><Relationship Id="rId312" Type="http://schemas.openxmlformats.org/officeDocument/2006/relationships/hyperlink" Target="https://pt.wikipedia.org/wiki/Nova_Br%C3%A9scia" TargetMode="External"/><Relationship Id="rId354" Type="http://schemas.openxmlformats.org/officeDocument/2006/relationships/hyperlink" Target="https://pt.wikipedia.org/wiki/Pinheiro_Machado_(Rio_Grande_do_Sul)" TargetMode="External"/><Relationship Id="rId51" Type="http://schemas.openxmlformats.org/officeDocument/2006/relationships/hyperlink" Target="https://pt.wikipedia.org/wiki/Microrregi%C3%A3o_de_Restinga_Seca" TargetMode="External"/><Relationship Id="rId93" Type="http://schemas.openxmlformats.org/officeDocument/2006/relationships/hyperlink" Target="https://pt.wikipedia.org/wiki/Braga_(Rio_Grande_do_Sul)" TargetMode="External"/><Relationship Id="rId189" Type="http://schemas.openxmlformats.org/officeDocument/2006/relationships/hyperlink" Target="https://pt.wikipedia.org/wiki/Esmeralda_(Rio_Grande_do_Sul)" TargetMode="External"/><Relationship Id="rId396" Type="http://schemas.openxmlformats.org/officeDocument/2006/relationships/hyperlink" Target="https://pt.wikipedia.org/wiki/Salvador_do_Sul" TargetMode="External"/><Relationship Id="rId214" Type="http://schemas.openxmlformats.org/officeDocument/2006/relationships/hyperlink" Target="https://pt.wikipedia.org/wiki/General_C%C3%A2mara" TargetMode="External"/><Relationship Id="rId256" Type="http://schemas.openxmlformats.org/officeDocument/2006/relationships/hyperlink" Target="https://pt.wikipedia.org/wiki/Jaboticaba" TargetMode="External"/><Relationship Id="rId298" Type="http://schemas.openxmlformats.org/officeDocument/2006/relationships/hyperlink" Target="https://pt.wikipedia.org/wiki/Morrinhos_do_Sul" TargetMode="External"/><Relationship Id="rId421" Type="http://schemas.openxmlformats.org/officeDocument/2006/relationships/hyperlink" Target="https://pt.wikipedia.org/wiki/S%C3%A3o_Francisco_de_Assis_(Rio_Grande_do_Sul)" TargetMode="External"/><Relationship Id="rId463" Type="http://schemas.openxmlformats.org/officeDocument/2006/relationships/hyperlink" Target="https://pt.wikipedia.org/wiki/Senador_Salgado_Filho" TargetMode="External"/><Relationship Id="rId519" Type="http://schemas.openxmlformats.org/officeDocument/2006/relationships/hyperlink" Target="https://pt.wikipedia.org/wiki/Veran%C3%B3polis" TargetMode="External"/><Relationship Id="rId116" Type="http://schemas.openxmlformats.org/officeDocument/2006/relationships/hyperlink" Target="https://pt.wikipedia.org/wiki/Cangu%C3%A7u" TargetMode="External"/><Relationship Id="rId158" Type="http://schemas.openxmlformats.org/officeDocument/2006/relationships/hyperlink" Target="https://pt.wikipedia.org/wiki/Coxilha_(Rio_Grande_do_Sul)" TargetMode="External"/><Relationship Id="rId323" Type="http://schemas.openxmlformats.org/officeDocument/2006/relationships/hyperlink" Target="https://pt.wikipedia.org/wiki/Novo_Barreiro" TargetMode="External"/><Relationship Id="rId530" Type="http://schemas.openxmlformats.org/officeDocument/2006/relationships/hyperlink" Target="https://pt.wikipedia.org/wiki/Vista_Alegre_do_Prata" TargetMode="External"/><Relationship Id="rId20" Type="http://schemas.openxmlformats.org/officeDocument/2006/relationships/hyperlink" Target="https://pt.wikipedia.org/wiki/Alto_Alegre_(Rio_Grande_do_Sul)" TargetMode="External"/><Relationship Id="rId62" Type="http://schemas.openxmlformats.org/officeDocument/2006/relationships/hyperlink" Target="https://pt.wikipedia.org/wiki/Balne%C3%A1rio_Pinhal" TargetMode="External"/><Relationship Id="rId365" Type="http://schemas.openxmlformats.org/officeDocument/2006/relationships/hyperlink" Target="https://pt.wikipedia.org/wiki/Porto_Mau%C3%A1" TargetMode="External"/><Relationship Id="rId225" Type="http://schemas.openxmlformats.org/officeDocument/2006/relationships/hyperlink" Target="https://pt.wikipedia.org/wiki/Guapor%C3%A9_(Rio_Grande_do_Sul)" TargetMode="External"/><Relationship Id="rId267" Type="http://schemas.openxmlformats.org/officeDocument/2006/relationships/hyperlink" Target="https://pt.wikipedia.org/wiki/Lagoa_Vermelha" TargetMode="External"/><Relationship Id="rId432" Type="http://schemas.openxmlformats.org/officeDocument/2006/relationships/hyperlink" Target="https://pt.wikipedia.org/wiki/S%C3%A3o_Jos%C3%A9_do_Norte" TargetMode="External"/><Relationship Id="rId474" Type="http://schemas.openxmlformats.org/officeDocument/2006/relationships/hyperlink" Target="https://pt.wikipedia.org/wiki/Soledade_(Rio_Grande_do_Sul)" TargetMode="External"/><Relationship Id="rId127" Type="http://schemas.openxmlformats.org/officeDocument/2006/relationships/hyperlink" Target="https://pt.wikipedia.org/wiki/Carazinho" TargetMode="External"/><Relationship Id="rId31" Type="http://schemas.openxmlformats.org/officeDocument/2006/relationships/hyperlink" Target="https://pt.wikipedia.org/wiki/Microrregi%C3%A3o_de_Jaguar%C3%A3o" TargetMode="External"/><Relationship Id="rId73" Type="http://schemas.openxmlformats.org/officeDocument/2006/relationships/hyperlink" Target="https://pt.wikipedia.org/wiki/Microrregi%C3%A3o_de_Vacaria" TargetMode="External"/><Relationship Id="rId169" Type="http://schemas.openxmlformats.org/officeDocument/2006/relationships/hyperlink" Target="https://pt.wikipedia.org/wiki/Dois_Irm%C3%A3os" TargetMode="External"/><Relationship Id="rId334" Type="http://schemas.openxmlformats.org/officeDocument/2006/relationships/hyperlink" Target="https://pt.wikipedia.org/wiki/Panambi" TargetMode="External"/><Relationship Id="rId376" Type="http://schemas.openxmlformats.org/officeDocument/2006/relationships/hyperlink" Target="https://pt.wikipedia.org/wiki/Quinze_de_Novembro" TargetMode="External"/><Relationship Id="rId4" Type="http://schemas.openxmlformats.org/officeDocument/2006/relationships/hyperlink" Target="https://pt.wikipedia.org/wiki/%C3%81gua_Santa_(Rio_Grande_do_Sul)" TargetMode="External"/><Relationship Id="rId180" Type="http://schemas.openxmlformats.org/officeDocument/2006/relationships/hyperlink" Target="https://pt.wikipedia.org/wiki/Encruzilhada_do_Sul" TargetMode="External"/><Relationship Id="rId236" Type="http://schemas.openxmlformats.org/officeDocument/2006/relationships/hyperlink" Target="https://pt.wikipedia.org/wiki/Ibirapuit%C3%A3" TargetMode="External"/><Relationship Id="rId278" Type="http://schemas.openxmlformats.org/officeDocument/2006/relationships/hyperlink" Target="https://pt.wikipedia.org/wiki/Manoel_Viana" TargetMode="External"/><Relationship Id="rId401" Type="http://schemas.openxmlformats.org/officeDocument/2006/relationships/hyperlink" Target="https://pt.wikipedia.org/wiki/Santa_Clara_do_Sul" TargetMode="External"/><Relationship Id="rId443" Type="http://schemas.openxmlformats.org/officeDocument/2006/relationships/hyperlink" Target="https://pt.wikipedia.org/wiki/S%C3%A3o_Nicolau_(Rio_Grande_do_Sul)" TargetMode="External"/><Relationship Id="rId303" Type="http://schemas.openxmlformats.org/officeDocument/2006/relationships/hyperlink" Target="https://pt.wikipedia.org/wiki/Muitos_Cap%C3%B5es" TargetMode="External"/><Relationship Id="rId485" Type="http://schemas.openxmlformats.org/officeDocument/2006/relationships/hyperlink" Target="https://pt.wikipedia.org/wiki/Teut%C3%B4nia" TargetMode="External"/><Relationship Id="rId42" Type="http://schemas.openxmlformats.org/officeDocument/2006/relationships/hyperlink" Target="https://pt.wikipedia.org/wiki/Arroio_do_Meio" TargetMode="External"/><Relationship Id="rId84" Type="http://schemas.openxmlformats.org/officeDocument/2006/relationships/hyperlink" Target="https://pt.wikipedia.org/wiki/Boa_Vista_do_Incra" TargetMode="External"/><Relationship Id="rId138" Type="http://schemas.openxmlformats.org/officeDocument/2006/relationships/hyperlink" Target="https://pt.wikipedia.org/wiki/Cerro_Grande_do_Sul" TargetMode="External"/><Relationship Id="rId345" Type="http://schemas.openxmlformats.org/officeDocument/2006/relationships/hyperlink" Target="https://pt.wikipedia.org/wiki/Pedras_Altas" TargetMode="External"/><Relationship Id="rId387" Type="http://schemas.openxmlformats.org/officeDocument/2006/relationships/hyperlink" Target="https://pt.wikipedia.org/wiki/Rolante" TargetMode="External"/><Relationship Id="rId510" Type="http://schemas.openxmlformats.org/officeDocument/2006/relationships/hyperlink" Target="https://pt.wikipedia.org/wiki/Unistalda" TargetMode="External"/><Relationship Id="rId191" Type="http://schemas.openxmlformats.org/officeDocument/2006/relationships/hyperlink" Target="https://pt.wikipedia.org/wiki/Espumoso" TargetMode="External"/><Relationship Id="rId205" Type="http://schemas.openxmlformats.org/officeDocument/2006/relationships/hyperlink" Target="https://pt.wikipedia.org/wiki/Floriano_Peixoto_(Rio_Grande_do_Sul)" TargetMode="External"/><Relationship Id="rId247" Type="http://schemas.openxmlformats.org/officeDocument/2006/relationships/hyperlink" Target="https://pt.wikipedia.org/wiki/Ira%C3%AD" TargetMode="External"/><Relationship Id="rId412" Type="http://schemas.openxmlformats.org/officeDocument/2006/relationships/hyperlink" Target="https://pt.wikipedia.org/wiki/Santo_Ant%C3%B4nio_da_Patrulha" TargetMode="External"/><Relationship Id="rId107" Type="http://schemas.openxmlformats.org/officeDocument/2006/relationships/hyperlink" Target="https://pt.wikipedia.org/wiki/Campina_das_Miss%C3%B5es" TargetMode="External"/><Relationship Id="rId289" Type="http://schemas.openxmlformats.org/officeDocument/2006/relationships/hyperlink" Target="https://pt.wikipedia.org/wiki/Mato_Queimado" TargetMode="External"/><Relationship Id="rId454" Type="http://schemas.openxmlformats.org/officeDocument/2006/relationships/hyperlink" Target="https://pt.wikipedia.org/wiki/S%C3%A3o_Vendelino" TargetMode="External"/><Relationship Id="rId496" Type="http://schemas.openxmlformats.org/officeDocument/2006/relationships/hyperlink" Target="https://pt.wikipedia.org/wiki/Tr%C3%AAs_Forquilhas" TargetMode="External"/><Relationship Id="rId11" Type="http://schemas.openxmlformats.org/officeDocument/2006/relationships/hyperlink" Target="https://pt.wikipedia.org/wiki/Microrregi%C3%A3o_da_Campanha_Ocidental" TargetMode="External"/><Relationship Id="rId53" Type="http://schemas.openxmlformats.org/officeDocument/2006/relationships/hyperlink" Target="https://pt.wikipedia.org/wiki/Microrregi%C3%A3o_de_Sananduva" TargetMode="External"/><Relationship Id="rId149" Type="http://schemas.openxmlformats.org/officeDocument/2006/relationships/hyperlink" Target="https://pt.wikipedia.org/wiki/Colorado_(Rio_Grande_do_Sul)" TargetMode="External"/><Relationship Id="rId314" Type="http://schemas.openxmlformats.org/officeDocument/2006/relationships/hyperlink" Target="https://pt.wikipedia.org/wiki/Nova_Esperan%C3%A7a_do_Sul" TargetMode="External"/><Relationship Id="rId356" Type="http://schemas.openxmlformats.org/officeDocument/2006/relationships/hyperlink" Target="https://pt.wikipedia.org/wiki/Pirap%C3%B3" TargetMode="External"/><Relationship Id="rId398" Type="http://schemas.openxmlformats.org/officeDocument/2006/relationships/hyperlink" Target="https://pt.wikipedia.org/wiki/Sant%27Ana_do_Livramento" TargetMode="External"/><Relationship Id="rId521" Type="http://schemas.openxmlformats.org/officeDocument/2006/relationships/hyperlink" Target="https://pt.wikipedia.org/wiki/Viadutos" TargetMode="External"/><Relationship Id="rId95" Type="http://schemas.openxmlformats.org/officeDocument/2006/relationships/hyperlink" Target="https://pt.wikipedia.org/wiki/Buti%C3%A1_(Rio_Grande_do_Sul)" TargetMode="External"/><Relationship Id="rId160" Type="http://schemas.openxmlformats.org/officeDocument/2006/relationships/hyperlink" Target="https://pt.wikipedia.org/wiki/Cristal_(Rio_Grande_do_Sul)" TargetMode="External"/><Relationship Id="rId216" Type="http://schemas.openxmlformats.org/officeDocument/2006/relationships/hyperlink" Target="https://pt.wikipedia.org/wiki/Get%C3%BAlio_Vargas_(Rio_Grande_do_Sul)" TargetMode="External"/><Relationship Id="rId423" Type="http://schemas.openxmlformats.org/officeDocument/2006/relationships/hyperlink" Target="https://pt.wikipedia.org/wiki/S%C3%A3o_Gabriel_(Rio_Grande_do_Sul)" TargetMode="External"/><Relationship Id="rId258" Type="http://schemas.openxmlformats.org/officeDocument/2006/relationships/hyperlink" Target="https://pt.wikipedia.org/wiki/Jacutinga_(Rio_Grande_do_Sul)" TargetMode="External"/><Relationship Id="rId465" Type="http://schemas.openxmlformats.org/officeDocument/2006/relationships/hyperlink" Target="https://pt.wikipedia.org/wiki/Serafina_Corr%C3%AAa" TargetMode="External"/><Relationship Id="rId22" Type="http://schemas.openxmlformats.org/officeDocument/2006/relationships/hyperlink" Target="https://pt.wikipedia.org/wiki/Alto_Feliz" TargetMode="External"/><Relationship Id="rId64" Type="http://schemas.openxmlformats.org/officeDocument/2006/relationships/hyperlink" Target="https://pt.wikipedia.org/wiki/Bar%C3%A3o_(Rio_Grande_do_Sul)" TargetMode="External"/><Relationship Id="rId118" Type="http://schemas.openxmlformats.org/officeDocument/2006/relationships/hyperlink" Target="https://pt.wikipedia.org/wiki/Canudos_do_Vale" TargetMode="External"/><Relationship Id="rId325" Type="http://schemas.openxmlformats.org/officeDocument/2006/relationships/hyperlink" Target="https://pt.wikipedia.org/wiki/Novo_Hamburgo" TargetMode="External"/><Relationship Id="rId367" Type="http://schemas.openxmlformats.org/officeDocument/2006/relationships/hyperlink" Target="https://pt.wikipedia.org/wiki/Porto_Xavier" TargetMode="External"/><Relationship Id="rId532" Type="http://schemas.openxmlformats.org/officeDocument/2006/relationships/hyperlink" Target="https://pt.wikipedia.org/wiki/Vit%C3%B3ria_das_Miss%C3%B5es" TargetMode="External"/><Relationship Id="rId171" Type="http://schemas.openxmlformats.org/officeDocument/2006/relationships/hyperlink" Target="https://pt.wikipedia.org/wiki/Dois_Lajeados" TargetMode="External"/><Relationship Id="rId227" Type="http://schemas.openxmlformats.org/officeDocument/2006/relationships/hyperlink" Target="https://pt.wikipedia.org/wiki/Harmonia_(Rio_Grande_do_Sul)" TargetMode="External"/><Relationship Id="rId269" Type="http://schemas.openxmlformats.org/officeDocument/2006/relationships/hyperlink" Target="https://pt.wikipedia.org/wiki/Lajeado_(Rio_Grande_do_Sul)" TargetMode="External"/><Relationship Id="rId434" Type="http://schemas.openxmlformats.org/officeDocument/2006/relationships/hyperlink" Target="https://pt.wikipedia.org/wiki/S%C3%A3o_Jos%C3%A9_do_Sul" TargetMode="External"/><Relationship Id="rId476" Type="http://schemas.openxmlformats.org/officeDocument/2006/relationships/hyperlink" Target="https://pt.wikipedia.org/wiki/Tapejara_(Rio_Grande_do_Sul)" TargetMode="External"/><Relationship Id="rId33" Type="http://schemas.openxmlformats.org/officeDocument/2006/relationships/hyperlink" Target="https://pt.wikipedia.org/wiki/Microrregi%C3%A3o_de_Lajeado-Estrela" TargetMode="External"/><Relationship Id="rId129" Type="http://schemas.openxmlformats.org/officeDocument/2006/relationships/hyperlink" Target="https://pt.wikipedia.org/wiki/Carlos_Gomes_(Rio_Grande_do_Sul)" TargetMode="External"/><Relationship Id="rId280" Type="http://schemas.openxmlformats.org/officeDocument/2006/relationships/hyperlink" Target="https://pt.wikipedia.org/wiki/Marat%C3%A1" TargetMode="External"/><Relationship Id="rId336" Type="http://schemas.openxmlformats.org/officeDocument/2006/relationships/hyperlink" Target="https://pt.wikipedia.org/wiki/Para%C3%AD" TargetMode="External"/><Relationship Id="rId501" Type="http://schemas.openxmlformats.org/officeDocument/2006/relationships/hyperlink" Target="https://pt.wikipedia.org/wiki/Tucunduva" TargetMode="External"/><Relationship Id="rId75" Type="http://schemas.openxmlformats.org/officeDocument/2006/relationships/hyperlink" Target="https://pt.wikipedia.org/wiki/Barra_do_Rio_Azul" TargetMode="External"/><Relationship Id="rId140" Type="http://schemas.openxmlformats.org/officeDocument/2006/relationships/hyperlink" Target="https://pt.wikipedia.org/wiki/Chapada_(Rio_Grande_do_Sul)" TargetMode="External"/><Relationship Id="rId182" Type="http://schemas.openxmlformats.org/officeDocument/2006/relationships/hyperlink" Target="https://pt.wikipedia.org/wiki/Entre_Rios_do_Sul" TargetMode="External"/><Relationship Id="rId378" Type="http://schemas.openxmlformats.org/officeDocument/2006/relationships/hyperlink" Target="https://pt.wikipedia.org/wiki/Relvado" TargetMode="External"/><Relationship Id="rId403" Type="http://schemas.openxmlformats.org/officeDocument/2006/relationships/hyperlink" Target="https://pt.wikipedia.org/wiki/Santa_Margarida_do_Sul" TargetMode="External"/><Relationship Id="rId6" Type="http://schemas.openxmlformats.org/officeDocument/2006/relationships/hyperlink" Target="https://pt.wikipedia.org/wiki/Agudo" TargetMode="External"/><Relationship Id="rId238" Type="http://schemas.openxmlformats.org/officeDocument/2006/relationships/hyperlink" Target="https://pt.wikipedia.org/wiki/Igrejinha" TargetMode="External"/><Relationship Id="rId445" Type="http://schemas.openxmlformats.org/officeDocument/2006/relationships/hyperlink" Target="https://pt.wikipedia.org/wiki/S%C3%A3o_Pedro_da_Serra" TargetMode="External"/><Relationship Id="rId487" Type="http://schemas.openxmlformats.org/officeDocument/2006/relationships/hyperlink" Target="https://pt.wikipedia.org/wiki/Tiradentes_do_Sul" TargetMode="External"/><Relationship Id="rId291" Type="http://schemas.openxmlformats.org/officeDocument/2006/relationships/hyperlink" Target="https://pt.wikipedia.org/wiki/Minas_do_Le%C3%A3o" TargetMode="External"/><Relationship Id="rId305" Type="http://schemas.openxmlformats.org/officeDocument/2006/relationships/hyperlink" Target="https://pt.wikipedia.org/wiki/N%C3%A3o-Me-Toque" TargetMode="External"/><Relationship Id="rId347" Type="http://schemas.openxmlformats.org/officeDocument/2006/relationships/hyperlink" Target="https://pt.wikipedia.org/wiki/Peju%C3%A7ara" TargetMode="External"/><Relationship Id="rId512" Type="http://schemas.openxmlformats.org/officeDocument/2006/relationships/hyperlink" Target="https://pt.wikipedia.org/wiki/Vacaria" TargetMode="External"/><Relationship Id="rId44" Type="http://schemas.openxmlformats.org/officeDocument/2006/relationships/hyperlink" Target="https://pt.wikipedia.org/wiki/Arroio_do_Padre" TargetMode="External"/><Relationship Id="rId86" Type="http://schemas.openxmlformats.org/officeDocument/2006/relationships/hyperlink" Target="https://pt.wikipedia.org/wiki/Bom_Jesus_(Rio_Grande_do_Sul)" TargetMode="External"/><Relationship Id="rId151" Type="http://schemas.openxmlformats.org/officeDocument/2006/relationships/hyperlink" Target="https://pt.wikipedia.org/wiki/Constantina_(Rio_Grande_do_Sul)" TargetMode="External"/><Relationship Id="rId389" Type="http://schemas.openxmlformats.org/officeDocument/2006/relationships/hyperlink" Target="https://pt.wikipedia.org/wiki/Rondinha" TargetMode="External"/><Relationship Id="rId193" Type="http://schemas.openxmlformats.org/officeDocument/2006/relationships/hyperlink" Target="https://pt.wikipedia.org/wiki/Est%C3%A2ncia_Velha" TargetMode="External"/><Relationship Id="rId207" Type="http://schemas.openxmlformats.org/officeDocument/2006/relationships/hyperlink" Target="https://pt.wikipedia.org/wiki/Formigueiro_(Rio_Grande_do_Sul)" TargetMode="External"/><Relationship Id="rId249" Type="http://schemas.openxmlformats.org/officeDocument/2006/relationships/hyperlink" Target="https://pt.wikipedia.org/wiki/Itacurubi" TargetMode="External"/><Relationship Id="rId414" Type="http://schemas.openxmlformats.org/officeDocument/2006/relationships/hyperlink" Target="https://pt.wikipedia.org/wiki/Santo_Ant%C3%B4nio_do_Palma" TargetMode="External"/><Relationship Id="rId456" Type="http://schemas.openxmlformats.org/officeDocument/2006/relationships/hyperlink" Target="https://pt.wikipedia.org/wiki/Sapiranga" TargetMode="External"/><Relationship Id="rId498" Type="http://schemas.openxmlformats.org/officeDocument/2006/relationships/hyperlink" Target="https://pt.wikipedia.org/wiki/Tr%C3%AAs_Passos" TargetMode="External"/><Relationship Id="rId13" Type="http://schemas.openxmlformats.org/officeDocument/2006/relationships/hyperlink" Target="https://pt.wikipedia.org/wiki/Microrregi%C3%A3o_de_Carazinho" TargetMode="External"/><Relationship Id="rId109" Type="http://schemas.openxmlformats.org/officeDocument/2006/relationships/hyperlink" Target="https://pt.wikipedia.org/wiki/Campo_Bom" TargetMode="External"/><Relationship Id="rId260" Type="http://schemas.openxmlformats.org/officeDocument/2006/relationships/hyperlink" Target="https://pt.wikipedia.org/wiki/Jaguari" TargetMode="External"/><Relationship Id="rId316" Type="http://schemas.openxmlformats.org/officeDocument/2006/relationships/hyperlink" Target="https://pt.wikipedia.org/wiki/Nova_P%C3%A1dua" TargetMode="External"/><Relationship Id="rId523" Type="http://schemas.openxmlformats.org/officeDocument/2006/relationships/hyperlink" Target="https://pt.wikipedia.org/wiki/Vicente_Dutra" TargetMode="External"/><Relationship Id="rId55" Type="http://schemas.openxmlformats.org/officeDocument/2006/relationships/hyperlink" Target="https://pt.wikipedia.org/wiki/Microrregi%C3%A3o_de_Santa_Cruz_do_Sul" TargetMode="External"/><Relationship Id="rId97" Type="http://schemas.openxmlformats.org/officeDocument/2006/relationships/hyperlink" Target="https://pt.wikipedia.org/wiki/Cacequi" TargetMode="External"/><Relationship Id="rId120" Type="http://schemas.openxmlformats.org/officeDocument/2006/relationships/hyperlink" Target="https://pt.wikipedia.org/wiki/Cap%C3%A3o_da_Canoa" TargetMode="External"/><Relationship Id="rId358" Type="http://schemas.openxmlformats.org/officeDocument/2006/relationships/hyperlink" Target="https://pt.wikipedia.org/wiki/Planalto_(Rio_Grande_do_Sul)" TargetMode="External"/><Relationship Id="rId162" Type="http://schemas.openxmlformats.org/officeDocument/2006/relationships/hyperlink" Target="https://pt.wikipedia.org/wiki/Cruz_Alta_(Rio_Grande_do_Sul)" TargetMode="External"/><Relationship Id="rId218" Type="http://schemas.openxmlformats.org/officeDocument/2006/relationships/hyperlink" Target="https://pt.wikipedia.org/wiki/Glorinha" TargetMode="External"/><Relationship Id="rId425" Type="http://schemas.openxmlformats.org/officeDocument/2006/relationships/hyperlink" Target="https://pt.wikipedia.org/wiki/S%C3%A3o_Jo%C3%A3o_da_Urtiga" TargetMode="External"/><Relationship Id="rId467" Type="http://schemas.openxmlformats.org/officeDocument/2006/relationships/hyperlink" Target="https://pt.wikipedia.org/wiki/Sert%C3%A3o_(Rio_Grande_do_Sul)" TargetMode="External"/><Relationship Id="rId271" Type="http://schemas.openxmlformats.org/officeDocument/2006/relationships/hyperlink" Target="https://pt.wikipedia.org/wiki/Lavras_do_Sul" TargetMode="External"/><Relationship Id="rId24" Type="http://schemas.openxmlformats.org/officeDocument/2006/relationships/hyperlink" Target="https://pt.wikipedia.org/wiki/Alvorada_(Rio_Grande_do_Sul)" TargetMode="External"/><Relationship Id="rId66" Type="http://schemas.openxmlformats.org/officeDocument/2006/relationships/hyperlink" Target="https://pt.wikipedia.org/wiki/Bar%C3%A3o_de_Cotegipe" TargetMode="External"/><Relationship Id="rId131" Type="http://schemas.openxmlformats.org/officeDocument/2006/relationships/hyperlink" Target="https://pt.wikipedia.org/wiki/Caseiros" TargetMode="External"/><Relationship Id="rId327" Type="http://schemas.openxmlformats.org/officeDocument/2006/relationships/hyperlink" Target="https://pt.wikipedia.org/wiki/Novo_Tiradentes" TargetMode="External"/><Relationship Id="rId369" Type="http://schemas.openxmlformats.org/officeDocument/2006/relationships/hyperlink" Target="https://pt.wikipedia.org/wiki/Presidente_Lucena" TargetMode="External"/><Relationship Id="rId534" Type="http://schemas.openxmlformats.org/officeDocument/2006/relationships/hyperlink" Target="https://pt.wikipedia.org/wiki/Xangri-l%C3%A1" TargetMode="External"/><Relationship Id="rId173" Type="http://schemas.openxmlformats.org/officeDocument/2006/relationships/hyperlink" Target="https://pt.wikipedia.org/wiki/Dom_Pedrito" TargetMode="External"/><Relationship Id="rId229" Type="http://schemas.openxmlformats.org/officeDocument/2006/relationships/hyperlink" Target="https://pt.wikipedia.org/wiki/Herveiras" TargetMode="External"/><Relationship Id="rId380" Type="http://schemas.openxmlformats.org/officeDocument/2006/relationships/hyperlink" Target="https://pt.wikipedia.org/wiki/Rio_dos_%C3%8Dndios" TargetMode="External"/><Relationship Id="rId436" Type="http://schemas.openxmlformats.org/officeDocument/2006/relationships/hyperlink" Target="https://pt.wikipedia.org/wiki/S%C3%A3o_Leopoldo" TargetMode="External"/><Relationship Id="rId240" Type="http://schemas.openxmlformats.org/officeDocument/2006/relationships/hyperlink" Target="https://pt.wikipedia.org/wiki/Il%C3%B3polis" TargetMode="External"/><Relationship Id="rId478" Type="http://schemas.openxmlformats.org/officeDocument/2006/relationships/hyperlink" Target="https://pt.wikipedia.org/wiki/Tapes_(Rio_Grande_do_Sul)" TargetMode="External"/><Relationship Id="rId35" Type="http://schemas.openxmlformats.org/officeDocument/2006/relationships/hyperlink" Target="https://pt.wikipedia.org/wiki/Microrregi%C3%A3o_de_Lajeado-Estrela" TargetMode="External"/><Relationship Id="rId77" Type="http://schemas.openxmlformats.org/officeDocument/2006/relationships/hyperlink" Target="https://pt.wikipedia.org/wiki/Barrac%C3%A3o_(Rio_Grande_do_Sul)" TargetMode="External"/><Relationship Id="rId100" Type="http://schemas.openxmlformats.org/officeDocument/2006/relationships/hyperlink" Target="https://pt.wikipedia.org/wiki/Cacique_Doble_(Rio_Grande_do_Sul)" TargetMode="External"/><Relationship Id="rId282" Type="http://schemas.openxmlformats.org/officeDocument/2006/relationships/hyperlink" Target="https://pt.wikipedia.org/wiki/Marcelino_Ramos" TargetMode="External"/><Relationship Id="rId338" Type="http://schemas.openxmlformats.org/officeDocument/2006/relationships/hyperlink" Target="https://pt.wikipedia.org/wiki/Pareci_Novo" TargetMode="External"/><Relationship Id="rId503" Type="http://schemas.openxmlformats.org/officeDocument/2006/relationships/hyperlink" Target="https://pt.wikipedia.org/wiki/Tupanci_do_Sul" TargetMode="External"/><Relationship Id="rId8" Type="http://schemas.openxmlformats.org/officeDocument/2006/relationships/hyperlink" Target="https://pt.wikipedia.org/wiki/Ajuricaba" TargetMode="External"/><Relationship Id="rId142" Type="http://schemas.openxmlformats.org/officeDocument/2006/relationships/hyperlink" Target="https://pt.wikipedia.org/wiki/Charrua_(Rio_Grande_do_Sul)" TargetMode="External"/><Relationship Id="rId184" Type="http://schemas.openxmlformats.org/officeDocument/2006/relationships/hyperlink" Target="https://pt.wikipedia.org/wiki/Erebango" TargetMode="External"/><Relationship Id="rId391" Type="http://schemas.openxmlformats.org/officeDocument/2006/relationships/hyperlink" Target="https://pt.wikipedia.org/wiki/Ros%C3%A1rio_do_Sul" TargetMode="External"/><Relationship Id="rId405" Type="http://schemas.openxmlformats.org/officeDocument/2006/relationships/hyperlink" Target="https://pt.wikipedia.org/wiki/Santa_Maria_do_Herval" TargetMode="External"/><Relationship Id="rId447" Type="http://schemas.openxmlformats.org/officeDocument/2006/relationships/hyperlink" Target="https://pt.wikipedia.org/wiki/S%C3%A3o_Pedro_do_Buti%C3%A1" TargetMode="External"/><Relationship Id="rId251" Type="http://schemas.openxmlformats.org/officeDocument/2006/relationships/hyperlink" Target="https://pt.wikipedia.org/wiki/Itaqui" TargetMode="External"/><Relationship Id="rId489" Type="http://schemas.openxmlformats.org/officeDocument/2006/relationships/hyperlink" Target="https://pt.wikipedia.org/wiki/Torres_(Rio_Grande_do_Sul)" TargetMode="External"/><Relationship Id="rId46" Type="http://schemas.openxmlformats.org/officeDocument/2006/relationships/hyperlink" Target="https://pt.wikipedia.org/wiki/Arroio_do_Sal" TargetMode="External"/><Relationship Id="rId293" Type="http://schemas.openxmlformats.org/officeDocument/2006/relationships/hyperlink" Target="https://pt.wikipedia.org/wiki/Montauri" TargetMode="External"/><Relationship Id="rId307" Type="http://schemas.openxmlformats.org/officeDocument/2006/relationships/hyperlink" Target="https://pt.wikipedia.org/wiki/Nonoai" TargetMode="External"/><Relationship Id="rId349" Type="http://schemas.openxmlformats.org/officeDocument/2006/relationships/hyperlink" Target="https://pt.wikipedia.org/wiki/Picada_Caf%C3%A9" TargetMode="External"/><Relationship Id="rId514" Type="http://schemas.openxmlformats.org/officeDocument/2006/relationships/hyperlink" Target="https://pt.wikipedia.org/wiki/Vale_Real" TargetMode="External"/><Relationship Id="rId88" Type="http://schemas.openxmlformats.org/officeDocument/2006/relationships/hyperlink" Target="https://pt.wikipedia.org/wiki/Bom_Progresso" TargetMode="External"/><Relationship Id="rId111" Type="http://schemas.openxmlformats.org/officeDocument/2006/relationships/hyperlink" Target="https://pt.wikipedia.org/wiki/Campos_Borges" TargetMode="External"/><Relationship Id="rId153" Type="http://schemas.openxmlformats.org/officeDocument/2006/relationships/hyperlink" Target="https://pt.wikipedia.org/wiki/Coqueiros_do_Sul" TargetMode="External"/><Relationship Id="rId195" Type="http://schemas.openxmlformats.org/officeDocument/2006/relationships/hyperlink" Target="https://pt.wikipedia.org/wiki/Estrela_(Rio_Grande_do_Sul)" TargetMode="External"/><Relationship Id="rId209" Type="http://schemas.openxmlformats.org/officeDocument/2006/relationships/hyperlink" Target="https://pt.wikipedia.org/wiki/Fortaleza_dos_Valos" TargetMode="External"/><Relationship Id="rId360" Type="http://schemas.openxmlformats.org/officeDocument/2006/relationships/hyperlink" Target="https://pt.wikipedia.org/wiki/Pont%C3%A3o" TargetMode="External"/><Relationship Id="rId416" Type="http://schemas.openxmlformats.org/officeDocument/2006/relationships/hyperlink" Target="https://pt.wikipedia.org/wiki/Santo_Augusto" TargetMode="External"/><Relationship Id="rId220" Type="http://schemas.openxmlformats.org/officeDocument/2006/relationships/hyperlink" Target="https://pt.wikipedia.org/wiki/Gramado_dos_Loureiros" TargetMode="External"/><Relationship Id="rId458" Type="http://schemas.openxmlformats.org/officeDocument/2006/relationships/hyperlink" Target="https://pt.wikipedia.org/wiki/Sarandi_(Rio_Grande_do_Sul)" TargetMode="External"/><Relationship Id="rId15" Type="http://schemas.openxmlformats.org/officeDocument/2006/relationships/hyperlink" Target="https://pt.wikipedia.org/wiki/Microrregi%C3%A3o_de_Caxias_do_Sul" TargetMode="External"/><Relationship Id="rId57" Type="http://schemas.openxmlformats.org/officeDocument/2006/relationships/hyperlink" Target="https://pt.wikipedia.org/wiki/Microrregi%C3%A3o_de_Santa_Maria" TargetMode="External"/><Relationship Id="rId262" Type="http://schemas.openxmlformats.org/officeDocument/2006/relationships/hyperlink" Target="https://pt.wikipedia.org/wiki/Jari_(Rio_Grande_do_Sul)" TargetMode="External"/><Relationship Id="rId318" Type="http://schemas.openxmlformats.org/officeDocument/2006/relationships/hyperlink" Target="https://pt.wikipedia.org/wiki/Nova_Petr%C3%B3polis" TargetMode="External"/><Relationship Id="rId525" Type="http://schemas.openxmlformats.org/officeDocument/2006/relationships/hyperlink" Target="https://pt.wikipedia.org/wiki/Vila_Flores" TargetMode="External"/><Relationship Id="rId99" Type="http://schemas.openxmlformats.org/officeDocument/2006/relationships/hyperlink" Target="https://pt.wikipedia.org/wiki/Cachoeirinha_(Rio_Grande_do_Sul)" TargetMode="External"/><Relationship Id="rId122" Type="http://schemas.openxmlformats.org/officeDocument/2006/relationships/hyperlink" Target="https://pt.wikipedia.org/wiki/Cap%C3%A3o_do_Le%C3%A3o" TargetMode="External"/><Relationship Id="rId164" Type="http://schemas.openxmlformats.org/officeDocument/2006/relationships/hyperlink" Target="https://pt.wikipedia.org/wiki/Cruzeiro_do_Sul_(Rio_Grande_do_Sul)" TargetMode="External"/><Relationship Id="rId371" Type="http://schemas.openxmlformats.org/officeDocument/2006/relationships/hyperlink" Target="https://pt.wikipedia.org/wiki/Prot%C3%A1sio_Alves_(Rio_Grande_do_Sul)" TargetMode="External"/><Relationship Id="rId427" Type="http://schemas.openxmlformats.org/officeDocument/2006/relationships/hyperlink" Target="https://pt.wikipedia.org/wiki/S%C3%A3o_Jorge_(Rio_Grande_do_Sul)" TargetMode="External"/><Relationship Id="rId469" Type="http://schemas.openxmlformats.org/officeDocument/2006/relationships/hyperlink" Target="https://pt.wikipedia.org/wiki/Sete_de_Setembro" TargetMode="External"/><Relationship Id="rId26" Type="http://schemas.openxmlformats.org/officeDocument/2006/relationships/hyperlink" Target="https://pt.wikipedia.org/wiki/Amaral_Ferrador" TargetMode="External"/><Relationship Id="rId231" Type="http://schemas.openxmlformats.org/officeDocument/2006/relationships/hyperlink" Target="https://pt.wikipedia.org/wiki/Hulha_Negra" TargetMode="External"/><Relationship Id="rId273" Type="http://schemas.openxmlformats.org/officeDocument/2006/relationships/hyperlink" Target="https://pt.wikipedia.org/wiki/Lindolfo_Collor_(Rio_Grande_do_Sul)" TargetMode="External"/><Relationship Id="rId329" Type="http://schemas.openxmlformats.org/officeDocument/2006/relationships/hyperlink" Target="https://pt.wikipedia.org/wiki/Os%C3%B3rio_(Rio_Grande_do_Sul)" TargetMode="External"/><Relationship Id="rId480" Type="http://schemas.openxmlformats.org/officeDocument/2006/relationships/hyperlink" Target="https://pt.wikipedia.org/wiki/Taquari" TargetMode="External"/><Relationship Id="rId68" Type="http://schemas.openxmlformats.org/officeDocument/2006/relationships/hyperlink" Target="https://pt.wikipedia.org/wiki/Bar%C3%A3o_do_Triunfo" TargetMode="External"/><Relationship Id="rId133" Type="http://schemas.openxmlformats.org/officeDocument/2006/relationships/hyperlink" Target="https://pt.wikipedia.org/wiki/Caxias_do_Sul" TargetMode="External"/><Relationship Id="rId175" Type="http://schemas.openxmlformats.org/officeDocument/2006/relationships/hyperlink" Target="https://pt.wikipedia.org/wiki/Dona_Francisca" TargetMode="External"/><Relationship Id="rId340" Type="http://schemas.openxmlformats.org/officeDocument/2006/relationships/hyperlink" Target="https://pt.wikipedia.org/wiki/Passa-Sete" TargetMode="External"/><Relationship Id="rId200" Type="http://schemas.openxmlformats.org/officeDocument/2006/relationships/hyperlink" Target="https://pt.wikipedia.org/wiki/Faxinal_do_Soturno" TargetMode="External"/><Relationship Id="rId382" Type="http://schemas.openxmlformats.org/officeDocument/2006/relationships/hyperlink" Target="https://pt.wikipedia.org/wiki/Rio_Pardo" TargetMode="External"/><Relationship Id="rId438" Type="http://schemas.openxmlformats.org/officeDocument/2006/relationships/hyperlink" Target="https://pt.wikipedia.org/wiki/S%C3%A3o_Luiz_Gonzaga" TargetMode="External"/><Relationship Id="rId242" Type="http://schemas.openxmlformats.org/officeDocument/2006/relationships/hyperlink" Target="https://pt.wikipedia.org/wiki/Imigrante" TargetMode="External"/><Relationship Id="rId284" Type="http://schemas.openxmlformats.org/officeDocument/2006/relationships/hyperlink" Target="https://pt.wikipedia.org/wiki/Mariano_Moro" TargetMode="External"/><Relationship Id="rId491" Type="http://schemas.openxmlformats.org/officeDocument/2006/relationships/hyperlink" Target="https://pt.wikipedia.org/wiki/Travesseiro_(Rio_Grande_do_Sul)" TargetMode="External"/><Relationship Id="rId505" Type="http://schemas.openxmlformats.org/officeDocument/2006/relationships/hyperlink" Target="https://pt.wikipedia.org/wiki/Tupandi" TargetMode="External"/><Relationship Id="rId37" Type="http://schemas.openxmlformats.org/officeDocument/2006/relationships/hyperlink" Target="https://pt.wikipedia.org/wiki/Microrregi%C3%A3o_do_Litoral_Lagunar" TargetMode="External"/><Relationship Id="rId79" Type="http://schemas.openxmlformats.org/officeDocument/2006/relationships/hyperlink" Target="https://pt.wikipedia.org/wiki/Benjamin_Constant_do_Sul" TargetMode="External"/><Relationship Id="rId102" Type="http://schemas.openxmlformats.org/officeDocument/2006/relationships/hyperlink" Target="https://pt.wikipedia.org/wiki/Cai%C3%A7ara_(Rio_Grande_do_Sul)" TargetMode="External"/><Relationship Id="rId144" Type="http://schemas.openxmlformats.org/officeDocument/2006/relationships/hyperlink" Target="https://pt.wikipedia.org/wiki/Chu%C3%AD" TargetMode="External"/><Relationship Id="rId90" Type="http://schemas.openxmlformats.org/officeDocument/2006/relationships/hyperlink" Target="https://pt.wikipedia.org/wiki/Boqueir%C3%A3o_do_Le%C3%A3o" TargetMode="External"/><Relationship Id="rId186" Type="http://schemas.openxmlformats.org/officeDocument/2006/relationships/hyperlink" Target="https://pt.wikipedia.org/wiki/Ernestina_(Rio_Grande_do_Sul)" TargetMode="External"/><Relationship Id="rId351" Type="http://schemas.openxmlformats.org/officeDocument/2006/relationships/hyperlink" Target="https://pt.wikipedia.org/wiki/Pinhal_da_Serra" TargetMode="External"/><Relationship Id="rId393" Type="http://schemas.openxmlformats.org/officeDocument/2006/relationships/hyperlink" Target="https://pt.wikipedia.org/wiki/Saldanha_Marinho_(Rio_Grande_do_Sul)" TargetMode="External"/><Relationship Id="rId407" Type="http://schemas.openxmlformats.org/officeDocument/2006/relationships/hyperlink" Target="https://pt.wikipedia.org/wiki/Santa_Tereza" TargetMode="External"/><Relationship Id="rId449" Type="http://schemas.openxmlformats.org/officeDocument/2006/relationships/hyperlink" Target="https://pt.wikipedia.org/wiki/S%C3%A3o_Sebasti%C3%A3o_do_Ca%C3%AD" TargetMode="External"/><Relationship Id="rId211" Type="http://schemas.openxmlformats.org/officeDocument/2006/relationships/hyperlink" Target="https://pt.wikipedia.org/wiki/Garibaldi" TargetMode="External"/><Relationship Id="rId253" Type="http://schemas.openxmlformats.org/officeDocument/2006/relationships/hyperlink" Target="https://pt.wikipedia.org/wiki/Itatiba_do_Sul" TargetMode="External"/><Relationship Id="rId295" Type="http://schemas.openxmlformats.org/officeDocument/2006/relationships/hyperlink" Target="https://pt.wikipedia.org/wiki/Monte_Belo_do_Sul" TargetMode="External"/><Relationship Id="rId309" Type="http://schemas.openxmlformats.org/officeDocument/2006/relationships/hyperlink" Target="https://pt.wikipedia.org/wiki/Nova_Ara%C3%A7%C3%A1" TargetMode="External"/><Relationship Id="rId460" Type="http://schemas.openxmlformats.org/officeDocument/2006/relationships/hyperlink" Target="https://pt.wikipedia.org/wiki/Sede_Nova" TargetMode="External"/><Relationship Id="rId516" Type="http://schemas.openxmlformats.org/officeDocument/2006/relationships/hyperlink" Target="https://pt.wikipedia.org/wiki/Vanini" TargetMode="External"/><Relationship Id="rId48" Type="http://schemas.openxmlformats.org/officeDocument/2006/relationships/hyperlink" Target="https://pt.wikipedia.org/wiki/Arroio_do_Tigre" TargetMode="External"/><Relationship Id="rId113" Type="http://schemas.openxmlformats.org/officeDocument/2006/relationships/hyperlink" Target="https://pt.wikipedia.org/wiki/C%C3%A2ndido_God%C3%B3i" TargetMode="External"/><Relationship Id="rId320" Type="http://schemas.openxmlformats.org/officeDocument/2006/relationships/hyperlink" Target="https://pt.wikipedia.org/wiki/Nova_Ramada" TargetMode="External"/><Relationship Id="rId155" Type="http://schemas.openxmlformats.org/officeDocument/2006/relationships/hyperlink" Target="https://pt.wikipedia.org/wiki/Coronel_Bicaco" TargetMode="External"/><Relationship Id="rId197" Type="http://schemas.openxmlformats.org/officeDocument/2006/relationships/hyperlink" Target="https://pt.wikipedia.org/wiki/Eug%C3%AAnio_de_Castro_(Rio_Grande_do_Sul)" TargetMode="External"/><Relationship Id="rId362" Type="http://schemas.openxmlformats.org/officeDocument/2006/relationships/hyperlink" Target="https://pt.wikipedia.org/wiki/Port%C3%A3o_(Rio_Grande_do_Sul)" TargetMode="External"/><Relationship Id="rId418" Type="http://schemas.openxmlformats.org/officeDocument/2006/relationships/hyperlink" Target="https://pt.wikipedia.org/wiki/Santo_Expedito_do_Sul" TargetMode="External"/><Relationship Id="rId222" Type="http://schemas.openxmlformats.org/officeDocument/2006/relationships/hyperlink" Target="https://pt.wikipedia.org/wiki/Gravata%C3%AD" TargetMode="External"/><Relationship Id="rId264" Type="http://schemas.openxmlformats.org/officeDocument/2006/relationships/hyperlink" Target="https://pt.wikipedia.org/wiki/J%C3%BAlio_de_Castilhos_(Rio_Grande_do_Sul)" TargetMode="External"/><Relationship Id="rId471" Type="http://schemas.openxmlformats.org/officeDocument/2006/relationships/hyperlink" Target="https://pt.wikipedia.org/wiki/Silveira_Martins" TargetMode="External"/><Relationship Id="rId17" Type="http://schemas.openxmlformats.org/officeDocument/2006/relationships/hyperlink" Target="https://pt.wikipedia.org/wiki/Microrregi%C3%A3o_de_Cerro_Largo" TargetMode="External"/><Relationship Id="rId59" Type="http://schemas.openxmlformats.org/officeDocument/2006/relationships/hyperlink" Target="https://pt.wikipedia.org/wiki/Microrregi%C3%A3o_de_Santa_Rosa" TargetMode="External"/><Relationship Id="rId124" Type="http://schemas.openxmlformats.org/officeDocument/2006/relationships/hyperlink" Target="https://pt.wikipedia.org/wiki/Capit%C3%A3o_(Rio_Grande_do_Sul)" TargetMode="External"/><Relationship Id="rId527" Type="http://schemas.openxmlformats.org/officeDocument/2006/relationships/hyperlink" Target="https://pt.wikipedia.org/wiki/Vila_Maria" TargetMode="External"/><Relationship Id="rId70" Type="http://schemas.openxmlformats.org/officeDocument/2006/relationships/hyperlink" Target="https://pt.wikipedia.org/wiki/Barra_do_Guarita" TargetMode="External"/><Relationship Id="rId166" Type="http://schemas.openxmlformats.org/officeDocument/2006/relationships/hyperlink" Target="https://pt.wikipedia.org/wiki/Derrubadas" TargetMode="External"/><Relationship Id="rId331" Type="http://schemas.openxmlformats.org/officeDocument/2006/relationships/hyperlink" Target="https://pt.wikipedia.org/wiki/Palmares_do_Sul" TargetMode="External"/><Relationship Id="rId373" Type="http://schemas.openxmlformats.org/officeDocument/2006/relationships/hyperlink" Target="https://pt.wikipedia.org/wiki/Quara%C3%AD" TargetMode="External"/><Relationship Id="rId429" Type="http://schemas.openxmlformats.org/officeDocument/2006/relationships/hyperlink" Target="https://pt.wikipedia.org/wiki/S%C3%A3o_Jos%C3%A9_do_Herval" TargetMode="External"/><Relationship Id="rId1" Type="http://schemas.openxmlformats.org/officeDocument/2006/relationships/hyperlink" Target="https://pt.wikipedia.org/wiki/Lista_de_munic%C3%ADpios_do_Rio_Grande_do_Sul_por_%C3%A1rea" TargetMode="External"/><Relationship Id="rId233" Type="http://schemas.openxmlformats.org/officeDocument/2006/relationships/hyperlink" Target="https://pt.wikipedia.org/wiki/Ibarama" TargetMode="External"/><Relationship Id="rId440" Type="http://schemas.openxmlformats.org/officeDocument/2006/relationships/hyperlink" Target="https://pt.wikipedia.org/wiki/S%C3%A3o_Martinho_(Rio_Grande_do_Sul)" TargetMode="External"/><Relationship Id="rId28" Type="http://schemas.openxmlformats.org/officeDocument/2006/relationships/hyperlink" Target="https://pt.wikipedia.org/wiki/Ametista_do_Sul" TargetMode="External"/><Relationship Id="rId275" Type="http://schemas.openxmlformats.org/officeDocument/2006/relationships/hyperlink" Target="https://pt.wikipedia.org/wiki/Ma%C3%A7ambar%C3%A1" TargetMode="External"/><Relationship Id="rId300" Type="http://schemas.openxmlformats.org/officeDocument/2006/relationships/hyperlink" Target="https://pt.wikipedia.org/wiki/Morro_Reuter" TargetMode="External"/><Relationship Id="rId482" Type="http://schemas.openxmlformats.org/officeDocument/2006/relationships/hyperlink" Target="https://pt.wikipedia.org/wiki/Tavares_(Rio_Grande_do_Sul)" TargetMode="External"/><Relationship Id="rId81" Type="http://schemas.openxmlformats.org/officeDocument/2006/relationships/hyperlink" Target="https://pt.wikipedia.org/wiki/Boa_Vista_das_Miss%C3%B5es" TargetMode="External"/><Relationship Id="rId135" Type="http://schemas.openxmlformats.org/officeDocument/2006/relationships/hyperlink" Target="https://pt.wikipedia.org/wiki/Cerrito" TargetMode="External"/><Relationship Id="rId177" Type="http://schemas.openxmlformats.org/officeDocument/2006/relationships/hyperlink" Target="https://pt.wikipedia.org/wiki/Doutor_Ricardo" TargetMode="External"/><Relationship Id="rId342" Type="http://schemas.openxmlformats.org/officeDocument/2006/relationships/hyperlink" Target="https://pt.wikipedia.org/wiki/Passo_Fundo" TargetMode="External"/><Relationship Id="rId384" Type="http://schemas.openxmlformats.org/officeDocument/2006/relationships/hyperlink" Target="https://pt.wikipedia.org/wiki/Roca_Sales" TargetMode="External"/><Relationship Id="rId202" Type="http://schemas.openxmlformats.org/officeDocument/2006/relationships/hyperlink" Target="https://pt.wikipedia.org/wiki/Fazenda_Vilanova" TargetMode="External"/><Relationship Id="rId244" Type="http://schemas.openxmlformats.org/officeDocument/2006/relationships/hyperlink" Target="https://pt.wikipedia.org/wiki/Inhacor%C3%A1" TargetMode="External"/><Relationship Id="rId39" Type="http://schemas.openxmlformats.org/officeDocument/2006/relationships/hyperlink" Target="https://pt.wikipedia.org/wiki/Microrregi%C3%A3o_de_Montenegro" TargetMode="External"/><Relationship Id="rId286" Type="http://schemas.openxmlformats.org/officeDocument/2006/relationships/hyperlink" Target="https://pt.wikipedia.org/wiki/Mata_(Rio_Grande_do_Sul)" TargetMode="External"/><Relationship Id="rId451" Type="http://schemas.openxmlformats.org/officeDocument/2006/relationships/hyperlink" Target="https://pt.wikipedia.org/wiki/S%C3%A3o_Valentim_(Rio_Grande_do_Sul)" TargetMode="External"/><Relationship Id="rId493" Type="http://schemas.openxmlformats.org/officeDocument/2006/relationships/hyperlink" Target="https://pt.wikipedia.org/wiki/Tr%C3%AAs_Cachoeiras" TargetMode="External"/><Relationship Id="rId507" Type="http://schemas.openxmlformats.org/officeDocument/2006/relationships/hyperlink" Target="https://pt.wikipedia.org/wiki/Turu%C3%A7u" TargetMode="External"/><Relationship Id="rId50" Type="http://schemas.openxmlformats.org/officeDocument/2006/relationships/hyperlink" Target="https://pt.wikipedia.org/wiki/Arroio_dos_Ratos" TargetMode="External"/><Relationship Id="rId104" Type="http://schemas.openxmlformats.org/officeDocument/2006/relationships/hyperlink" Target="https://pt.wikipedia.org/wiki/Camargo_(Rio_Grande_do_Sul)" TargetMode="External"/><Relationship Id="rId146" Type="http://schemas.openxmlformats.org/officeDocument/2006/relationships/hyperlink" Target="https://pt.wikipedia.org/wiki/Cidreira_(Rio_Grande_do_Sul)" TargetMode="External"/><Relationship Id="rId188" Type="http://schemas.openxmlformats.org/officeDocument/2006/relationships/hyperlink" Target="https://pt.wikipedia.org/wiki/Erval_Seco" TargetMode="External"/><Relationship Id="rId311" Type="http://schemas.openxmlformats.org/officeDocument/2006/relationships/hyperlink" Target="https://pt.wikipedia.org/wiki/Nova_Boa_Vista" TargetMode="External"/><Relationship Id="rId353" Type="http://schemas.openxmlformats.org/officeDocument/2006/relationships/hyperlink" Target="https://pt.wikipedia.org/wiki/Pinheirinho_do_Vale" TargetMode="External"/><Relationship Id="rId395" Type="http://schemas.openxmlformats.org/officeDocument/2006/relationships/hyperlink" Target="https://pt.wikipedia.org/wiki/Salvador_das_Miss%C3%B5es" TargetMode="External"/><Relationship Id="rId409" Type="http://schemas.openxmlformats.org/officeDocument/2006/relationships/hyperlink" Target="https://pt.wikipedia.org/wiki/Santana_da_Boa_Vista" TargetMode="External"/><Relationship Id="rId92" Type="http://schemas.openxmlformats.org/officeDocument/2006/relationships/hyperlink" Target="https://pt.wikipedia.org/wiki/Bozano" TargetMode="External"/><Relationship Id="rId213" Type="http://schemas.openxmlformats.org/officeDocument/2006/relationships/hyperlink" Target="https://pt.wikipedia.org/wiki/Gaurama" TargetMode="External"/><Relationship Id="rId420" Type="http://schemas.openxmlformats.org/officeDocument/2006/relationships/hyperlink" Target="https://pt.wikipedia.org/wiki/S%C3%A3o_Domingos_do_Sul" TargetMode="External"/><Relationship Id="rId255" Type="http://schemas.openxmlformats.org/officeDocument/2006/relationships/hyperlink" Target="https://pt.wikipedia.org/wiki/Ivoti" TargetMode="External"/><Relationship Id="rId297" Type="http://schemas.openxmlformats.org/officeDocument/2006/relationships/hyperlink" Target="https://pt.wikipedia.org/wiki/Morma%C3%A7o" TargetMode="External"/><Relationship Id="rId462" Type="http://schemas.openxmlformats.org/officeDocument/2006/relationships/hyperlink" Target="https://pt.wikipedia.org/wiki/Selbach" TargetMode="External"/><Relationship Id="rId518" Type="http://schemas.openxmlformats.org/officeDocument/2006/relationships/hyperlink" Target="https://pt.wikipedia.org/wiki/Vera_Cruz_(Rio_Grande_do_Sul)" TargetMode="External"/><Relationship Id="rId115" Type="http://schemas.openxmlformats.org/officeDocument/2006/relationships/hyperlink" Target="https://pt.wikipedia.org/wiki/Canela_(Rio_Grande_do_Sul)" TargetMode="External"/><Relationship Id="rId157" Type="http://schemas.openxmlformats.org/officeDocument/2006/relationships/hyperlink" Target="https://pt.wikipedia.org/wiki/Cotipor%C3%A3" TargetMode="External"/><Relationship Id="rId322" Type="http://schemas.openxmlformats.org/officeDocument/2006/relationships/hyperlink" Target="https://pt.wikipedia.org/wiki/Nova_Santa_Rita_(Rio_Grande_do_Sul)" TargetMode="External"/><Relationship Id="rId364" Type="http://schemas.openxmlformats.org/officeDocument/2006/relationships/hyperlink" Target="https://pt.wikipedia.org/wiki/Porto_Lucena" TargetMode="External"/><Relationship Id="rId61" Type="http://schemas.openxmlformats.org/officeDocument/2006/relationships/hyperlink" Target="https://pt.wikipedia.org/wiki/Microrregi%C3%A3o_de_Santiago" TargetMode="External"/><Relationship Id="rId199" Type="http://schemas.openxmlformats.org/officeDocument/2006/relationships/hyperlink" Target="https://pt.wikipedia.org/wiki/Farroupilha" TargetMode="External"/><Relationship Id="rId19" Type="http://schemas.openxmlformats.org/officeDocument/2006/relationships/hyperlink" Target="https://pt.wikipedia.org/wiki/Microrregi%C3%A3o_de_Cruz_Alta" TargetMode="External"/><Relationship Id="rId224" Type="http://schemas.openxmlformats.org/officeDocument/2006/relationships/hyperlink" Target="https://pt.wikipedia.org/wiki/Gua%C3%ADba" TargetMode="External"/><Relationship Id="rId266" Type="http://schemas.openxmlformats.org/officeDocument/2006/relationships/hyperlink" Target="https://pt.wikipedia.org/wiki/Lagoa_dos_Tr%C3%AAs_Cantos" TargetMode="External"/><Relationship Id="rId431" Type="http://schemas.openxmlformats.org/officeDocument/2006/relationships/hyperlink" Target="https://pt.wikipedia.org/wiki/S%C3%A3o_Jos%C3%A9_do_Inhacor%C3%A1" TargetMode="External"/><Relationship Id="rId473" Type="http://schemas.openxmlformats.org/officeDocument/2006/relationships/hyperlink" Target="https://pt.wikipedia.org/wiki/Sobradinho_(Rio_Grande_do_Sul)" TargetMode="External"/><Relationship Id="rId529" Type="http://schemas.openxmlformats.org/officeDocument/2006/relationships/hyperlink" Target="https://pt.wikipedia.org/wiki/Vista_Alegre" TargetMode="External"/><Relationship Id="rId30" Type="http://schemas.openxmlformats.org/officeDocument/2006/relationships/hyperlink" Target="https://pt.wikipedia.org/wiki/Andr%C3%A9_da_Rocha" TargetMode="External"/><Relationship Id="rId126" Type="http://schemas.openxmlformats.org/officeDocument/2006/relationships/hyperlink" Target="https://pt.wikipedia.org/wiki/Cara%C3%A1" TargetMode="External"/><Relationship Id="rId168" Type="http://schemas.openxmlformats.org/officeDocument/2006/relationships/hyperlink" Target="https://pt.wikipedia.org/wiki/Dilermando_de_Aguiar" TargetMode="External"/><Relationship Id="rId333" Type="http://schemas.openxmlformats.org/officeDocument/2006/relationships/hyperlink" Target="https://pt.wikipedia.org/wiki/Palmitinho" TargetMode="External"/><Relationship Id="rId72" Type="http://schemas.openxmlformats.org/officeDocument/2006/relationships/hyperlink" Target="https://pt.wikipedia.org/wiki/Barra_do_Quara%C3%AD" TargetMode="External"/><Relationship Id="rId375" Type="http://schemas.openxmlformats.org/officeDocument/2006/relationships/hyperlink" Target="https://pt.wikipedia.org/wiki/Quevedos" TargetMode="External"/><Relationship Id="rId3" Type="http://schemas.openxmlformats.org/officeDocument/2006/relationships/hyperlink" Target="https://pt.wikipedia.org/wiki/Microrregi%C3%A3o_de_Cachoeira_do_Sul" TargetMode="External"/><Relationship Id="rId235" Type="http://schemas.openxmlformats.org/officeDocument/2006/relationships/hyperlink" Target="https://pt.wikipedia.org/wiki/Ibiraiaras_(Rio_Grande_do_Sul)" TargetMode="External"/><Relationship Id="rId277" Type="http://schemas.openxmlformats.org/officeDocument/2006/relationships/hyperlink" Target="https://pt.wikipedia.org/wiki/Mampituba" TargetMode="External"/><Relationship Id="rId400" Type="http://schemas.openxmlformats.org/officeDocument/2006/relationships/hyperlink" Target="https://pt.wikipedia.org/wiki/Santa_Cec%C3%ADlia_do_Sul" TargetMode="External"/><Relationship Id="rId442" Type="http://schemas.openxmlformats.org/officeDocument/2006/relationships/hyperlink" Target="https://pt.wikipedia.org/wiki/S%C3%A3o_Miguel_das_Miss%C3%B5es" TargetMode="External"/><Relationship Id="rId484" Type="http://schemas.openxmlformats.org/officeDocument/2006/relationships/hyperlink" Target="https://pt.wikipedia.org/wiki/Terra_de_Areia" TargetMode="External"/><Relationship Id="rId137" Type="http://schemas.openxmlformats.org/officeDocument/2006/relationships/hyperlink" Target="https://pt.wikipedia.org/wiki/Cerro_Grande" TargetMode="External"/><Relationship Id="rId302" Type="http://schemas.openxmlformats.org/officeDocument/2006/relationships/hyperlink" Target="https://pt.wikipedia.org/wiki/Mu%C3%A7um_(Rio_Grande_do_Sul)" TargetMode="External"/><Relationship Id="rId344" Type="http://schemas.openxmlformats.org/officeDocument/2006/relationships/hyperlink" Target="https://pt.wikipedia.org/wiki/Paverama" TargetMode="External"/><Relationship Id="rId41" Type="http://schemas.openxmlformats.org/officeDocument/2006/relationships/hyperlink" Target="https://pt.wikipedia.org/wiki/Microrregi%C3%A3o_de_N%C3%A3o-Me-Toque" TargetMode="External"/><Relationship Id="rId83" Type="http://schemas.openxmlformats.org/officeDocument/2006/relationships/hyperlink" Target="https://pt.wikipedia.org/wiki/Boa_Vista_do_Cadeado" TargetMode="External"/><Relationship Id="rId179" Type="http://schemas.openxmlformats.org/officeDocument/2006/relationships/hyperlink" Target="https://pt.wikipedia.org/wiki/Encantado" TargetMode="External"/><Relationship Id="rId386" Type="http://schemas.openxmlformats.org/officeDocument/2006/relationships/hyperlink" Target="https://pt.wikipedia.org/wiki/Rolador" TargetMode="External"/><Relationship Id="rId190" Type="http://schemas.openxmlformats.org/officeDocument/2006/relationships/hyperlink" Target="https://pt.wikipedia.org/wiki/Esperan%C3%A7a_do_Sul" TargetMode="External"/><Relationship Id="rId204" Type="http://schemas.openxmlformats.org/officeDocument/2006/relationships/hyperlink" Target="https://pt.wikipedia.org/wiki/Flores_da_Cunha" TargetMode="External"/><Relationship Id="rId246" Type="http://schemas.openxmlformats.org/officeDocument/2006/relationships/hyperlink" Target="https://pt.wikipedia.org/wiki/Ipiranga_do_Sul" TargetMode="External"/><Relationship Id="rId288" Type="http://schemas.openxmlformats.org/officeDocument/2006/relationships/hyperlink" Target="https://pt.wikipedia.org/wiki/Mato_Leit%C3%A3o" TargetMode="External"/><Relationship Id="rId411" Type="http://schemas.openxmlformats.org/officeDocument/2006/relationships/hyperlink" Target="https://pt.wikipedia.org/wiki/Santo_%C3%82ngelo" TargetMode="External"/><Relationship Id="rId453" Type="http://schemas.openxmlformats.org/officeDocument/2006/relationships/hyperlink" Target="https://pt.wikipedia.org/wiki/S%C3%A3o_Val%C3%A9rio_do_Sul" TargetMode="External"/><Relationship Id="rId509" Type="http://schemas.openxmlformats.org/officeDocument/2006/relationships/hyperlink" Target="https://pt.wikipedia.org/wiki/Uni%C3%A3o_da_Serra" TargetMode="External"/><Relationship Id="rId106" Type="http://schemas.openxmlformats.org/officeDocument/2006/relationships/hyperlink" Target="https://pt.wikipedia.org/wiki/Campestre_da_Serra" TargetMode="External"/><Relationship Id="rId313" Type="http://schemas.openxmlformats.org/officeDocument/2006/relationships/hyperlink" Target="https://pt.wikipedia.org/wiki/Nova_Candel%C3%A1ria" TargetMode="External"/><Relationship Id="rId495" Type="http://schemas.openxmlformats.org/officeDocument/2006/relationships/hyperlink" Target="https://pt.wikipedia.org/wiki/Tr%C3%AAs_de_Maio" TargetMode="External"/><Relationship Id="rId10" Type="http://schemas.openxmlformats.org/officeDocument/2006/relationships/hyperlink" Target="https://pt.wikipedia.org/wiki/Alecrim_(Rio_Grande_do_Sul)" TargetMode="External"/><Relationship Id="rId52" Type="http://schemas.openxmlformats.org/officeDocument/2006/relationships/hyperlink" Target="https://pt.wikipedia.org/wiki/Arroio_Grande" TargetMode="External"/><Relationship Id="rId94" Type="http://schemas.openxmlformats.org/officeDocument/2006/relationships/hyperlink" Target="https://pt.wikipedia.org/wiki/Brochier" TargetMode="External"/><Relationship Id="rId148" Type="http://schemas.openxmlformats.org/officeDocument/2006/relationships/hyperlink" Target="https://pt.wikipedia.org/wiki/Colinas_(Rio_Grande_do_Sul)" TargetMode="External"/><Relationship Id="rId355" Type="http://schemas.openxmlformats.org/officeDocument/2006/relationships/hyperlink" Target="https://pt.wikipedia.org/wiki/Pinto_Bandeira" TargetMode="External"/><Relationship Id="rId397" Type="http://schemas.openxmlformats.org/officeDocument/2006/relationships/hyperlink" Target="https://pt.wikipedia.org/wiki/Sananduva" TargetMode="External"/><Relationship Id="rId520" Type="http://schemas.openxmlformats.org/officeDocument/2006/relationships/hyperlink" Target="https://pt.wikipedia.org/wiki/Vespasiano_Corr%C3%AAa" TargetMode="External"/><Relationship Id="rId215" Type="http://schemas.openxmlformats.org/officeDocument/2006/relationships/hyperlink" Target="https://pt.wikipedia.org/wiki/Gentil_(Rio_Grande_do_Sul)" TargetMode="External"/><Relationship Id="rId257" Type="http://schemas.openxmlformats.org/officeDocument/2006/relationships/hyperlink" Target="https://pt.wikipedia.org/wiki/Jacuizinho" TargetMode="External"/><Relationship Id="rId422" Type="http://schemas.openxmlformats.org/officeDocument/2006/relationships/hyperlink" Target="https://pt.wikipedia.org/wiki/S%C3%A3o_Francisco_de_Paula_(Rio_Grande_do_Sul)" TargetMode="External"/><Relationship Id="rId464" Type="http://schemas.openxmlformats.org/officeDocument/2006/relationships/hyperlink" Target="https://pt.wikipedia.org/wiki/Sentinela_do_Sul" TargetMode="External"/><Relationship Id="rId299" Type="http://schemas.openxmlformats.org/officeDocument/2006/relationships/hyperlink" Target="https://pt.wikipedia.org/wiki/Morro_Redondo" TargetMode="External"/><Relationship Id="rId63" Type="http://schemas.openxmlformats.org/officeDocument/2006/relationships/hyperlink" Target="https://pt.wikipedia.org/wiki/Microrregi%C3%A3o_de_Santo_%C3%82ngelo" TargetMode="External"/><Relationship Id="rId159" Type="http://schemas.openxmlformats.org/officeDocument/2006/relationships/hyperlink" Target="https://pt.wikipedia.org/wiki/Crissiumal" TargetMode="External"/><Relationship Id="rId366" Type="http://schemas.openxmlformats.org/officeDocument/2006/relationships/hyperlink" Target="https://pt.wikipedia.org/wiki/Porto_Vera_Cruz" TargetMode="External"/><Relationship Id="rId226" Type="http://schemas.openxmlformats.org/officeDocument/2006/relationships/hyperlink" Target="https://pt.wikipedia.org/wiki/Guarani_das_Miss%C3%B5es" TargetMode="External"/><Relationship Id="rId433" Type="http://schemas.openxmlformats.org/officeDocument/2006/relationships/hyperlink" Target="https://pt.wikipedia.org/wiki/S%C3%A3o_Jos%C3%A9_do_Ouro" TargetMode="External"/><Relationship Id="rId74" Type="http://schemas.openxmlformats.org/officeDocument/2006/relationships/hyperlink" Target="https://pt.wikipedia.org/wiki/Barra_do_Ribeiro" TargetMode="External"/><Relationship Id="rId377" Type="http://schemas.openxmlformats.org/officeDocument/2006/relationships/hyperlink" Target="https://pt.wikipedia.org/wiki/Redentora" TargetMode="External"/><Relationship Id="rId500" Type="http://schemas.openxmlformats.org/officeDocument/2006/relationships/hyperlink" Target="https://pt.wikipedia.org/wiki/Triunfo_(Rio_Grande_do_Sul)" TargetMode="External"/><Relationship Id="rId5" Type="http://schemas.openxmlformats.org/officeDocument/2006/relationships/hyperlink" Target="https://pt.wikipedia.org/wiki/Microrregi%C3%A3o_de_Camaqu%C3%A3" TargetMode="External"/><Relationship Id="rId237" Type="http://schemas.openxmlformats.org/officeDocument/2006/relationships/hyperlink" Target="https://pt.wikipedia.org/wiki/Ibirub%C3%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4"/>
  <sheetViews>
    <sheetView tabSelected="1" topLeftCell="A20" workbookViewId="0">
      <selection activeCell="C34" sqref="C34"/>
    </sheetView>
  </sheetViews>
  <sheetFormatPr defaultColWidth="12.6328125" defaultRowHeight="15.75" customHeight="1"/>
  <cols>
    <col min="1" max="1" width="8.26953125" customWidth="1"/>
    <col min="3" max="3" width="23.453125" customWidth="1"/>
    <col min="4" max="4" width="10.6328125" customWidth="1"/>
    <col min="5" max="5" width="16.7265625" customWidth="1"/>
    <col min="6" max="6" width="12.08984375" customWidth="1"/>
    <col min="7" max="7" width="10.90625" customWidth="1"/>
    <col min="8" max="8" width="18.453125" customWidth="1"/>
    <col min="9" max="9" width="14.36328125" customWidth="1"/>
    <col min="10" max="10" width="12.6328125" style="111" customWidth="1"/>
    <col min="11" max="11" width="40.90625" customWidth="1"/>
    <col min="12" max="12" width="16.6328125" customWidth="1"/>
  </cols>
  <sheetData>
    <row r="1" spans="1:30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09" t="s">
        <v>9</v>
      </c>
      <c r="K1" s="1" t="s">
        <v>10</v>
      </c>
      <c r="L1" s="1" t="s">
        <v>11</v>
      </c>
    </row>
    <row r="2" spans="1:30">
      <c r="A2" s="6" t="e">
        <f t="shared" ref="A2:A146" ca="1" si="0">_xludf.CONCAT(C2," (RS)")</f>
        <v>#NAME?</v>
      </c>
      <c r="B2" s="7">
        <v>270</v>
      </c>
      <c r="C2" s="8" t="s">
        <v>12</v>
      </c>
      <c r="D2" s="9">
        <v>4394</v>
      </c>
      <c r="E2" s="9">
        <v>4858</v>
      </c>
      <c r="F2" s="10">
        <f t="shared" ref="F2:F146" si="1">E2/$E$504</f>
        <v>4.2659954412332783E-4</v>
      </c>
      <c r="G2" s="11">
        <v>1551.3389999999999</v>
      </c>
      <c r="H2" s="12" t="s">
        <v>13</v>
      </c>
      <c r="I2" s="12" t="s">
        <v>14</v>
      </c>
      <c r="J2" s="110"/>
      <c r="L2" s="13" t="s">
        <v>15</v>
      </c>
      <c r="M2" s="13" t="s">
        <v>16</v>
      </c>
      <c r="N2" s="13">
        <v>497</v>
      </c>
      <c r="O2" s="13"/>
    </row>
    <row r="3" spans="1:30">
      <c r="A3" s="6" t="e">
        <f t="shared" ca="1" si="0"/>
        <v>#NAME?</v>
      </c>
      <c r="B3" s="14">
        <v>324</v>
      </c>
      <c r="C3" s="15" t="s">
        <v>17</v>
      </c>
      <c r="D3" s="16">
        <v>3726</v>
      </c>
      <c r="E3" s="16">
        <v>3753</v>
      </c>
      <c r="F3" s="17">
        <f t="shared" si="1"/>
        <v>3.2956527153043418E-4</v>
      </c>
      <c r="G3" s="18">
        <v>291.50299999999999</v>
      </c>
      <c r="H3" s="19" t="s">
        <v>18</v>
      </c>
      <c r="I3" s="19" t="s">
        <v>19</v>
      </c>
      <c r="J3" s="20">
        <v>44027</v>
      </c>
      <c r="K3" s="21" t="s">
        <v>20</v>
      </c>
      <c r="L3" s="13" t="s">
        <v>21</v>
      </c>
      <c r="M3" s="22" t="s">
        <v>22</v>
      </c>
      <c r="N3" s="22">
        <f>497-COUNTIF(J2:J503,"")</f>
        <v>316</v>
      </c>
      <c r="O3" s="23">
        <f>N3/$N$2</f>
        <v>0.63581488933601604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>
      <c r="A4" s="6" t="e">
        <f t="shared" ca="1" si="0"/>
        <v>#NAME?</v>
      </c>
      <c r="B4" s="25">
        <v>117</v>
      </c>
      <c r="C4" s="26" t="s">
        <v>23</v>
      </c>
      <c r="D4" s="27">
        <v>16729</v>
      </c>
      <c r="E4" s="27">
        <v>16461</v>
      </c>
      <c r="F4" s="28">
        <f t="shared" si="1"/>
        <v>1.4455033132593864E-3</v>
      </c>
      <c r="G4" s="29">
        <v>534.62400000000002</v>
      </c>
      <c r="H4" s="30" t="s">
        <v>24</v>
      </c>
      <c r="I4" s="30" t="s">
        <v>25</v>
      </c>
      <c r="J4" s="31">
        <v>45532</v>
      </c>
      <c r="K4" s="32" t="s">
        <v>762</v>
      </c>
      <c r="L4" s="13" t="s">
        <v>15</v>
      </c>
      <c r="M4" s="13" t="s">
        <v>26</v>
      </c>
      <c r="N4" s="13">
        <f>497-N3</f>
        <v>181</v>
      </c>
      <c r="O4" s="33"/>
    </row>
    <row r="5" spans="1:30">
      <c r="A5" s="6" t="e">
        <f t="shared" ca="1" si="0"/>
        <v>#NAME?</v>
      </c>
      <c r="B5" s="7">
        <v>204</v>
      </c>
      <c r="C5" s="8" t="s">
        <v>27</v>
      </c>
      <c r="D5" s="9">
        <v>7255</v>
      </c>
      <c r="E5" s="9">
        <v>7024</v>
      </c>
      <c r="F5" s="10">
        <f t="shared" si="1"/>
        <v>6.1680428116966956E-4</v>
      </c>
      <c r="G5" s="11">
        <v>322.69900000000001</v>
      </c>
      <c r="H5" s="12" t="s">
        <v>28</v>
      </c>
      <c r="I5" s="12" t="s">
        <v>19</v>
      </c>
      <c r="L5" s="13" t="s">
        <v>15</v>
      </c>
      <c r="M5" s="34" t="s">
        <v>29</v>
      </c>
      <c r="N5" s="34">
        <f>COUNTIF(L:L,"Sim")</f>
        <v>70</v>
      </c>
      <c r="O5" s="23">
        <f>N5/$N$2</f>
        <v>0.14084507042253522</v>
      </c>
    </row>
    <row r="6" spans="1:30">
      <c r="A6" s="6" t="e">
        <f t="shared" ca="1" si="0"/>
        <v>#NAME?</v>
      </c>
      <c r="B6" s="7">
        <v>239</v>
      </c>
      <c r="C6" s="8" t="s">
        <v>30</v>
      </c>
      <c r="D6" s="35">
        <v>7045</v>
      </c>
      <c r="E6" s="9">
        <v>5950</v>
      </c>
      <c r="F6" s="10">
        <f t="shared" si="1"/>
        <v>5.2249223703865807E-4</v>
      </c>
      <c r="G6" s="11">
        <v>316.39400000000001</v>
      </c>
      <c r="H6" s="12" t="s">
        <v>31</v>
      </c>
      <c r="I6" s="12" t="s">
        <v>19</v>
      </c>
      <c r="L6" s="13" t="s">
        <v>15</v>
      </c>
    </row>
    <row r="7" spans="1:30">
      <c r="A7" s="6" t="e">
        <f t="shared" ca="1" si="0"/>
        <v>#NAME?</v>
      </c>
      <c r="B7" s="7">
        <v>28</v>
      </c>
      <c r="C7" s="8" t="s">
        <v>32</v>
      </c>
      <c r="D7" s="9">
        <v>77673</v>
      </c>
      <c r="E7" s="9">
        <v>73589</v>
      </c>
      <c r="F7" s="10">
        <f t="shared" si="1"/>
        <v>6.4621312994013113E-3</v>
      </c>
      <c r="G7" s="11">
        <v>7800.1629999999996</v>
      </c>
      <c r="H7" s="12" t="s">
        <v>33</v>
      </c>
      <c r="I7" s="12" t="s">
        <v>14</v>
      </c>
      <c r="J7" s="70"/>
      <c r="L7" s="13" t="s">
        <v>15</v>
      </c>
    </row>
    <row r="8" spans="1:30">
      <c r="A8" s="6" t="e">
        <f t="shared" ca="1" si="0"/>
        <v>#NAME?</v>
      </c>
      <c r="B8" s="7">
        <v>333</v>
      </c>
      <c r="C8" s="8" t="s">
        <v>34</v>
      </c>
      <c r="D8" s="9">
        <v>4301</v>
      </c>
      <c r="E8" s="9">
        <v>3559</v>
      </c>
      <c r="F8" s="10">
        <f t="shared" si="1"/>
        <v>3.1252939018833344E-4</v>
      </c>
      <c r="G8" s="11">
        <v>172.79400000000001</v>
      </c>
      <c r="H8" s="12" t="s">
        <v>28</v>
      </c>
      <c r="I8" s="12" t="s">
        <v>19</v>
      </c>
      <c r="L8" s="13" t="s">
        <v>15</v>
      </c>
    </row>
    <row r="9" spans="1:30">
      <c r="A9" s="36" t="e">
        <f t="shared" ca="1" si="0"/>
        <v>#NAME?</v>
      </c>
      <c r="B9" s="37">
        <v>462</v>
      </c>
      <c r="C9" s="38" t="s">
        <v>35</v>
      </c>
      <c r="D9" s="39">
        <v>2062</v>
      </c>
      <c r="E9" s="39">
        <v>1979</v>
      </c>
      <c r="F9" s="40">
        <f t="shared" si="1"/>
        <v>1.7378355245369818E-4</v>
      </c>
      <c r="G9" s="41">
        <v>265.327</v>
      </c>
      <c r="H9" s="42" t="s">
        <v>36</v>
      </c>
      <c r="I9" s="42" t="s">
        <v>19</v>
      </c>
      <c r="J9" s="45">
        <v>46180</v>
      </c>
      <c r="K9" s="43" t="s">
        <v>37</v>
      </c>
      <c r="L9" s="44" t="s">
        <v>15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 spans="1:30">
      <c r="A10" s="36" t="e">
        <f t="shared" ca="1" si="0"/>
        <v>#NAME?</v>
      </c>
      <c r="B10" s="37">
        <v>229</v>
      </c>
      <c r="C10" s="38" t="s">
        <v>38</v>
      </c>
      <c r="D10" s="39">
        <v>8027</v>
      </c>
      <c r="E10" s="39">
        <v>6258</v>
      </c>
      <c r="F10" s="40">
        <f t="shared" si="1"/>
        <v>5.4953889401477684E-4</v>
      </c>
      <c r="G10" s="41">
        <v>325.97899999999998</v>
      </c>
      <c r="H10" s="42" t="s">
        <v>39</v>
      </c>
      <c r="I10" s="42" t="s">
        <v>19</v>
      </c>
      <c r="J10" s="45">
        <v>46178</v>
      </c>
      <c r="K10" s="43" t="s">
        <v>40</v>
      </c>
      <c r="L10" s="44" t="s">
        <v>15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 spans="1:30">
      <c r="A11" s="6" t="e">
        <f t="shared" ca="1" si="0"/>
        <v>#NAME?</v>
      </c>
      <c r="B11" s="7">
        <v>482</v>
      </c>
      <c r="C11" s="8" t="s">
        <v>41</v>
      </c>
      <c r="D11" s="9">
        <v>1848</v>
      </c>
      <c r="E11" s="9">
        <v>1663</v>
      </c>
      <c r="F11" s="10">
        <f t="shared" si="1"/>
        <v>1.4603438490677113E-4</v>
      </c>
      <c r="G11" s="11">
        <v>115.33499999999999</v>
      </c>
      <c r="H11" s="12" t="s">
        <v>42</v>
      </c>
      <c r="I11" s="12" t="s">
        <v>19</v>
      </c>
      <c r="L11" s="13" t="s">
        <v>15</v>
      </c>
    </row>
    <row r="12" spans="1:30">
      <c r="A12" s="6" t="e">
        <f t="shared" ca="1" si="0"/>
        <v>#NAME?</v>
      </c>
      <c r="B12" s="46">
        <v>364</v>
      </c>
      <c r="C12" s="47" t="s">
        <v>43</v>
      </c>
      <c r="D12" s="48">
        <v>2908</v>
      </c>
      <c r="E12" s="48">
        <v>3020</v>
      </c>
      <c r="F12" s="49">
        <f t="shared" si="1"/>
        <v>2.6519774048012557E-4</v>
      </c>
      <c r="G12" s="50">
        <v>78.846000000000004</v>
      </c>
      <c r="H12" s="51" t="s">
        <v>44</v>
      </c>
      <c r="I12" s="51" t="s">
        <v>45</v>
      </c>
      <c r="J12" s="52">
        <v>43984</v>
      </c>
      <c r="K12" s="24" t="s">
        <v>46</v>
      </c>
      <c r="L12" s="13" t="s">
        <v>15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>
      <c r="A13" s="53" t="e">
        <f t="shared" ca="1" si="0"/>
        <v>#NAME?</v>
      </c>
      <c r="B13" s="14">
        <v>11</v>
      </c>
      <c r="C13" s="15" t="s">
        <v>47</v>
      </c>
      <c r="D13" s="16">
        <v>195718</v>
      </c>
      <c r="E13" s="16">
        <v>210305</v>
      </c>
      <c r="F13" s="17">
        <f t="shared" si="1"/>
        <v>1.8467685699229408E-2</v>
      </c>
      <c r="G13" s="18">
        <v>71.647999999999996</v>
      </c>
      <c r="H13" s="19" t="s">
        <v>48</v>
      </c>
      <c r="I13" s="19" t="s">
        <v>45</v>
      </c>
      <c r="J13" s="20">
        <v>43998</v>
      </c>
      <c r="K13" s="21" t="s">
        <v>20</v>
      </c>
      <c r="L13" s="13" t="s">
        <v>21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>
      <c r="A14" s="6" t="e">
        <f t="shared" ca="1" si="0"/>
        <v>#NAME?</v>
      </c>
      <c r="B14" s="7">
        <v>203</v>
      </c>
      <c r="C14" s="8" t="s">
        <v>49</v>
      </c>
      <c r="D14" s="9">
        <v>6355</v>
      </c>
      <c r="E14" s="9">
        <v>7031</v>
      </c>
      <c r="F14" s="10">
        <f t="shared" si="1"/>
        <v>6.1741897791912676E-4</v>
      </c>
      <c r="G14" s="11">
        <v>505.983</v>
      </c>
      <c r="H14" s="12" t="s">
        <v>50</v>
      </c>
      <c r="I14" s="12" t="s">
        <v>51</v>
      </c>
      <c r="L14" s="13" t="s">
        <v>15</v>
      </c>
    </row>
    <row r="15" spans="1:30">
      <c r="A15" s="6" t="e">
        <f t="shared" ca="1" si="0"/>
        <v>#NAME?</v>
      </c>
      <c r="B15" s="25">
        <v>197</v>
      </c>
      <c r="C15" s="26" t="s">
        <v>52</v>
      </c>
      <c r="D15" s="27">
        <v>7323</v>
      </c>
      <c r="E15" s="27">
        <v>7409</v>
      </c>
      <c r="F15" s="28">
        <f t="shared" si="1"/>
        <v>6.50612602389818E-4</v>
      </c>
      <c r="G15" s="29">
        <v>93.703999999999994</v>
      </c>
      <c r="H15" s="30" t="s">
        <v>39</v>
      </c>
      <c r="I15" s="30" t="s">
        <v>19</v>
      </c>
      <c r="J15" s="31">
        <v>44845</v>
      </c>
      <c r="K15" s="32" t="s">
        <v>53</v>
      </c>
      <c r="L15" s="13" t="s">
        <v>54</v>
      </c>
    </row>
    <row r="16" spans="1:30">
      <c r="A16" s="6" t="e">
        <f t="shared" ca="1" si="0"/>
        <v>#NAME?</v>
      </c>
      <c r="B16" s="25">
        <v>495</v>
      </c>
      <c r="C16" s="26" t="s">
        <v>55</v>
      </c>
      <c r="D16" s="27">
        <v>1216</v>
      </c>
      <c r="E16" s="27">
        <v>1324</v>
      </c>
      <c r="F16" s="28">
        <f t="shared" si="1"/>
        <v>1.1626549946877028E-4</v>
      </c>
      <c r="G16" s="29">
        <v>331.22699999999998</v>
      </c>
      <c r="H16" s="30" t="s">
        <v>56</v>
      </c>
      <c r="I16" s="30" t="s">
        <v>57</v>
      </c>
      <c r="J16" s="31">
        <v>44015</v>
      </c>
      <c r="K16" s="32" t="s">
        <v>58</v>
      </c>
      <c r="L16" s="13" t="s">
        <v>15</v>
      </c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spans="1:30">
      <c r="A17" s="53" t="e">
        <f t="shared" ca="1" si="0"/>
        <v>#NAME?</v>
      </c>
      <c r="B17" s="14">
        <v>237</v>
      </c>
      <c r="C17" s="15" t="s">
        <v>59</v>
      </c>
      <c r="D17" s="16">
        <v>6073</v>
      </c>
      <c r="E17" s="16">
        <v>5981</v>
      </c>
      <c r="F17" s="17">
        <f t="shared" si="1"/>
        <v>5.2521446550054011E-4</v>
      </c>
      <c r="G17" s="18">
        <v>242.26</v>
      </c>
      <c r="H17" s="19" t="s">
        <v>56</v>
      </c>
      <c r="I17" s="19" t="s">
        <v>57</v>
      </c>
      <c r="J17" s="20">
        <v>44026</v>
      </c>
      <c r="K17" s="21" t="s">
        <v>60</v>
      </c>
      <c r="L17" s="13" t="s">
        <v>21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>
      <c r="A18" s="6" t="e">
        <f t="shared" ca="1" si="0"/>
        <v>#NAME?</v>
      </c>
      <c r="B18" s="46">
        <v>139</v>
      </c>
      <c r="C18" s="47" t="s">
        <v>61</v>
      </c>
      <c r="D18" s="48">
        <v>12837</v>
      </c>
      <c r="E18" s="48">
        <v>13050</v>
      </c>
      <c r="F18" s="49">
        <f t="shared" si="1"/>
        <v>1.1459703686310062E-3</v>
      </c>
      <c r="G18" s="50">
        <v>348.19099999999997</v>
      </c>
      <c r="H18" s="51" t="s">
        <v>62</v>
      </c>
      <c r="I18" s="51" t="s">
        <v>57</v>
      </c>
      <c r="J18" s="52">
        <v>44015</v>
      </c>
      <c r="K18" s="24" t="s">
        <v>63</v>
      </c>
      <c r="L18" s="13" t="s">
        <v>15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A19" s="53" t="e">
        <f t="shared" ca="1" si="0"/>
        <v>#NAME?</v>
      </c>
      <c r="B19" s="14">
        <v>329</v>
      </c>
      <c r="C19" s="15" t="s">
        <v>64</v>
      </c>
      <c r="D19" s="16">
        <v>3693</v>
      </c>
      <c r="E19" s="16">
        <v>3600</v>
      </c>
      <c r="F19" s="17">
        <f t="shared" si="1"/>
        <v>3.1612975686372584E-4</v>
      </c>
      <c r="G19" s="18">
        <v>518.19299999999998</v>
      </c>
      <c r="H19" s="19" t="s">
        <v>65</v>
      </c>
      <c r="I19" s="19" t="s">
        <v>45</v>
      </c>
      <c r="J19" s="20">
        <v>44196</v>
      </c>
      <c r="K19" s="21" t="s">
        <v>66</v>
      </c>
      <c r="L19" s="13" t="s">
        <v>21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>
      <c r="A20" s="53" t="e">
        <f t="shared" ca="1" si="0"/>
        <v>#NAME?</v>
      </c>
      <c r="B20" s="14">
        <v>247</v>
      </c>
      <c r="C20" s="15" t="s">
        <v>67</v>
      </c>
      <c r="D20" s="16">
        <v>4868</v>
      </c>
      <c r="E20" s="16">
        <v>5698</v>
      </c>
      <c r="F20" s="17">
        <f t="shared" si="1"/>
        <v>5.0036315405819717E-4</v>
      </c>
      <c r="G20" s="18">
        <v>35.295999999999999</v>
      </c>
      <c r="H20" s="19" t="s">
        <v>48</v>
      </c>
      <c r="I20" s="19" t="s">
        <v>45</v>
      </c>
      <c r="J20" s="20">
        <v>43965</v>
      </c>
      <c r="K20" s="21" t="s">
        <v>68</v>
      </c>
      <c r="L20" s="13" t="s">
        <v>21</v>
      </c>
      <c r="M20" s="21"/>
      <c r="N20" s="21"/>
      <c r="O20" s="21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A21" s="36" t="e">
        <f t="shared" ca="1" si="0"/>
        <v>#NAME?</v>
      </c>
      <c r="B21" s="37">
        <v>231</v>
      </c>
      <c r="C21" s="38" t="s">
        <v>69</v>
      </c>
      <c r="D21" s="39">
        <v>6568</v>
      </c>
      <c r="E21" s="39">
        <v>6235</v>
      </c>
      <c r="F21" s="40">
        <f t="shared" si="1"/>
        <v>5.4751917612370297E-4</v>
      </c>
      <c r="G21" s="41">
        <v>342.279</v>
      </c>
      <c r="H21" s="42" t="s">
        <v>70</v>
      </c>
      <c r="I21" s="42" t="s">
        <v>19</v>
      </c>
      <c r="J21" s="45">
        <v>46178</v>
      </c>
      <c r="K21" s="43" t="s">
        <v>71</v>
      </c>
      <c r="L21" s="44" t="s">
        <v>15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</row>
    <row r="22" spans="1:30">
      <c r="A22" s="6" t="e">
        <f t="shared" ca="1" si="0"/>
        <v>#NAME?</v>
      </c>
      <c r="B22" s="25">
        <v>107</v>
      </c>
      <c r="C22" s="26" t="s">
        <v>72</v>
      </c>
      <c r="D22" s="27">
        <v>18783</v>
      </c>
      <c r="E22" s="27">
        <v>20805</v>
      </c>
      <c r="F22" s="28">
        <f t="shared" si="1"/>
        <v>1.8269665532082823E-3</v>
      </c>
      <c r="G22" s="29">
        <v>157.58000000000001</v>
      </c>
      <c r="H22" s="30" t="s">
        <v>73</v>
      </c>
      <c r="I22" s="30" t="s">
        <v>74</v>
      </c>
      <c r="J22" s="31">
        <v>44389</v>
      </c>
      <c r="K22" s="32" t="s">
        <v>75</v>
      </c>
      <c r="L22" s="13" t="s">
        <v>15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spans="1:30">
      <c r="A23" s="6" t="e">
        <f t="shared" ca="1" si="0"/>
        <v>#NAME?</v>
      </c>
      <c r="B23" s="7">
        <v>376</v>
      </c>
      <c r="C23" s="8" t="s">
        <v>76</v>
      </c>
      <c r="D23" s="9">
        <v>2730</v>
      </c>
      <c r="E23" s="9">
        <v>2921</v>
      </c>
      <c r="F23" s="10">
        <f t="shared" si="1"/>
        <v>2.5650417216637313E-4</v>
      </c>
      <c r="G23" s="11">
        <v>124.693</v>
      </c>
      <c r="H23" s="12" t="s">
        <v>77</v>
      </c>
      <c r="I23" s="12" t="s">
        <v>51</v>
      </c>
      <c r="L23" s="13" t="s">
        <v>15</v>
      </c>
    </row>
    <row r="24" spans="1:30">
      <c r="A24" s="53" t="e">
        <f t="shared" ca="1" si="0"/>
        <v>#NAME?</v>
      </c>
      <c r="B24" s="14">
        <v>167</v>
      </c>
      <c r="C24" s="15" t="s">
        <v>78</v>
      </c>
      <c r="D24" s="16">
        <v>7744</v>
      </c>
      <c r="E24" s="16">
        <v>10065</v>
      </c>
      <c r="F24" s="17">
        <f t="shared" si="1"/>
        <v>8.8384611189816693E-4</v>
      </c>
      <c r="G24" s="18">
        <v>119.163</v>
      </c>
      <c r="H24" s="19" t="s">
        <v>79</v>
      </c>
      <c r="I24" s="19" t="s">
        <v>45</v>
      </c>
      <c r="J24" s="20">
        <v>43999</v>
      </c>
      <c r="K24" s="21" t="s">
        <v>80</v>
      </c>
      <c r="L24" s="13" t="s">
        <v>21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>
      <c r="A25" s="6" t="e">
        <f t="shared" ca="1" si="0"/>
        <v>#NAME?</v>
      </c>
      <c r="B25" s="7">
        <v>138</v>
      </c>
      <c r="C25" s="8" t="s">
        <v>81</v>
      </c>
      <c r="D25" s="9">
        <v>12648</v>
      </c>
      <c r="E25" s="9">
        <v>13373</v>
      </c>
      <c r="F25" s="10">
        <f t="shared" si="1"/>
        <v>1.1743342329273905E-3</v>
      </c>
      <c r="G25" s="11">
        <v>315.13200000000001</v>
      </c>
      <c r="H25" s="12" t="s">
        <v>82</v>
      </c>
      <c r="I25" s="12" t="s">
        <v>74</v>
      </c>
      <c r="L25" s="13" t="s">
        <v>15</v>
      </c>
    </row>
    <row r="26" spans="1:30">
      <c r="A26" s="6" t="e">
        <f t="shared" ca="1" si="0"/>
        <v>#NAME?</v>
      </c>
      <c r="B26" s="7">
        <v>129</v>
      </c>
      <c r="C26" s="8" t="s">
        <v>83</v>
      </c>
      <c r="D26" s="9">
        <v>13608</v>
      </c>
      <c r="E26" s="9">
        <v>14151</v>
      </c>
      <c r="F26" s="10">
        <f t="shared" si="1"/>
        <v>1.2426533859384958E-3</v>
      </c>
      <c r="G26" s="11">
        <v>425.791</v>
      </c>
      <c r="H26" s="12" t="s">
        <v>84</v>
      </c>
      <c r="I26" s="12" t="s">
        <v>45</v>
      </c>
      <c r="L26" s="13" t="s">
        <v>15</v>
      </c>
    </row>
    <row r="27" spans="1:30">
      <c r="A27" s="6" t="e">
        <f t="shared" ca="1" si="0"/>
        <v>#NAME?</v>
      </c>
      <c r="B27" s="46">
        <v>113</v>
      </c>
      <c r="C27" s="47" t="s">
        <v>85</v>
      </c>
      <c r="D27" s="48">
        <v>18469</v>
      </c>
      <c r="E27" s="48">
        <v>18293</v>
      </c>
      <c r="F27" s="49">
        <f t="shared" si="1"/>
        <v>1.6063782339744825E-3</v>
      </c>
      <c r="G27" s="50">
        <v>2508.5450000000001</v>
      </c>
      <c r="H27" s="51" t="s">
        <v>86</v>
      </c>
      <c r="I27" s="51" t="s">
        <v>51</v>
      </c>
      <c r="J27" s="52">
        <v>43988</v>
      </c>
      <c r="K27" s="24" t="s">
        <v>87</v>
      </c>
      <c r="L27" s="13" t="s">
        <v>15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>
      <c r="A28" s="6" t="e">
        <f t="shared" ca="1" si="0"/>
        <v>#NAME?</v>
      </c>
      <c r="B28" s="46">
        <v>161</v>
      </c>
      <c r="C28" s="47" t="s">
        <v>88</v>
      </c>
      <c r="D28" s="48">
        <v>10229</v>
      </c>
      <c r="E28" s="48">
        <v>10424</v>
      </c>
      <c r="F28" s="49">
        <f t="shared" si="1"/>
        <v>9.1537127376318844E-4</v>
      </c>
      <c r="G28" s="50">
        <v>270.24099999999999</v>
      </c>
      <c r="H28" s="51" t="s">
        <v>56</v>
      </c>
      <c r="I28" s="51" t="s">
        <v>57</v>
      </c>
      <c r="J28" s="52">
        <v>44026</v>
      </c>
      <c r="K28" s="24" t="s">
        <v>89</v>
      </c>
      <c r="L28" s="13" t="s">
        <v>15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>
      <c r="A29" s="6" t="e">
        <f t="shared" ca="1" si="0"/>
        <v>#NAME?</v>
      </c>
      <c r="B29" s="7">
        <v>216</v>
      </c>
      <c r="C29" s="8" t="s">
        <v>90</v>
      </c>
      <c r="D29" s="9">
        <v>7097</v>
      </c>
      <c r="E29" s="9">
        <v>6661</v>
      </c>
      <c r="F29" s="10">
        <f t="shared" si="1"/>
        <v>5.8492786401924391E-4</v>
      </c>
      <c r="G29" s="11">
        <v>348.33</v>
      </c>
      <c r="H29" s="12" t="s">
        <v>28</v>
      </c>
      <c r="I29" s="12" t="s">
        <v>19</v>
      </c>
      <c r="L29" s="13" t="s">
        <v>15</v>
      </c>
    </row>
    <row r="30" spans="1:30">
      <c r="A30" s="6" t="e">
        <f t="shared" ca="1" si="0"/>
        <v>#NAME?</v>
      </c>
      <c r="B30" s="25">
        <v>332</v>
      </c>
      <c r="C30" s="26" t="s">
        <v>91</v>
      </c>
      <c r="D30" s="27">
        <v>3665</v>
      </c>
      <c r="E30" s="27">
        <v>3573</v>
      </c>
      <c r="F30" s="28">
        <f t="shared" si="1"/>
        <v>3.1375878368724794E-4</v>
      </c>
      <c r="G30" s="29">
        <v>156.727</v>
      </c>
      <c r="H30" s="30" t="s">
        <v>70</v>
      </c>
      <c r="I30" s="30" t="s">
        <v>19</v>
      </c>
      <c r="J30" s="31">
        <v>44391</v>
      </c>
      <c r="K30" s="32" t="s">
        <v>92</v>
      </c>
      <c r="L30" s="13" t="s">
        <v>15</v>
      </c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1:30">
      <c r="A31" s="6" t="e">
        <f t="shared" ca="1" si="0"/>
        <v>#NAME?</v>
      </c>
      <c r="B31" s="54">
        <v>17</v>
      </c>
      <c r="C31" s="55" t="s">
        <v>93</v>
      </c>
      <c r="D31" s="56">
        <v>116792</v>
      </c>
      <c r="E31" s="56">
        <v>121143</v>
      </c>
      <c r="F31" s="57">
        <f t="shared" si="1"/>
        <v>1.0638029759928428E-2</v>
      </c>
      <c r="G31" s="58">
        <v>4090.36</v>
      </c>
      <c r="H31" s="59" t="s">
        <v>13</v>
      </c>
      <c r="I31" s="59" t="s">
        <v>14</v>
      </c>
      <c r="J31" s="112"/>
      <c r="K31" s="60"/>
      <c r="L31" s="13" t="s">
        <v>15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</row>
    <row r="32" spans="1:30">
      <c r="A32" s="6" t="e">
        <f t="shared" ca="1" si="0"/>
        <v>#NAME?</v>
      </c>
      <c r="B32" s="46">
        <v>131</v>
      </c>
      <c r="C32" s="47" t="s">
        <v>94</v>
      </c>
      <c r="D32" s="48">
        <v>10855</v>
      </c>
      <c r="E32" s="48">
        <v>14068</v>
      </c>
      <c r="F32" s="49">
        <f t="shared" si="1"/>
        <v>1.2353648387663598E-3</v>
      </c>
      <c r="G32" s="50">
        <v>102.386</v>
      </c>
      <c r="H32" s="51" t="s">
        <v>79</v>
      </c>
      <c r="I32" s="51" t="s">
        <v>45</v>
      </c>
      <c r="J32" s="52">
        <v>43999</v>
      </c>
      <c r="K32" s="24" t="s">
        <v>95</v>
      </c>
      <c r="L32" s="13" t="s">
        <v>15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>
      <c r="A33" s="53" t="e">
        <f t="shared" ca="1" si="0"/>
        <v>#NAME?</v>
      </c>
      <c r="B33" s="14">
        <v>233</v>
      </c>
      <c r="C33" s="15" t="s">
        <v>96</v>
      </c>
      <c r="D33" s="16">
        <v>5742</v>
      </c>
      <c r="E33" s="16">
        <v>6171</v>
      </c>
      <c r="F33" s="17">
        <f t="shared" si="1"/>
        <v>5.4189909155723671E-4</v>
      </c>
      <c r="G33" s="18">
        <v>124.113</v>
      </c>
      <c r="H33" s="19" t="s">
        <v>44</v>
      </c>
      <c r="I33" s="19" t="s">
        <v>45</v>
      </c>
      <c r="J33" s="20">
        <v>43985</v>
      </c>
      <c r="K33" s="21" t="s">
        <v>97</v>
      </c>
      <c r="L33" s="13" t="s">
        <v>21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>
      <c r="A34" s="6" t="e">
        <f t="shared" ca="1" si="0"/>
        <v>#NAME?</v>
      </c>
      <c r="B34" s="7">
        <v>218</v>
      </c>
      <c r="C34" s="8" t="s">
        <v>98</v>
      </c>
      <c r="D34" s="9">
        <v>6529</v>
      </c>
      <c r="E34" s="9">
        <v>6623</v>
      </c>
      <c r="F34" s="10">
        <f t="shared" si="1"/>
        <v>5.8159093880790456E-4</v>
      </c>
      <c r="G34" s="11">
        <v>260.505</v>
      </c>
      <c r="H34" s="12" t="s">
        <v>70</v>
      </c>
      <c r="I34" s="12" t="s">
        <v>19</v>
      </c>
      <c r="L34" s="13" t="s">
        <v>15</v>
      </c>
    </row>
    <row r="35" spans="1:30">
      <c r="A35" s="6" t="e">
        <f t="shared" ca="1" si="0"/>
        <v>#NAME?</v>
      </c>
      <c r="B35" s="7">
        <v>194</v>
      </c>
      <c r="C35" s="8" t="s">
        <v>99</v>
      </c>
      <c r="D35" s="9">
        <v>7018</v>
      </c>
      <c r="E35" s="9">
        <v>7487</v>
      </c>
      <c r="F35" s="10">
        <f t="shared" si="1"/>
        <v>6.5746208045519875E-4</v>
      </c>
      <c r="G35" s="11">
        <v>436.101</v>
      </c>
      <c r="H35" s="12" t="s">
        <v>84</v>
      </c>
      <c r="I35" s="12" t="s">
        <v>45</v>
      </c>
      <c r="L35" s="13" t="s">
        <v>15</v>
      </c>
    </row>
    <row r="36" spans="1:30">
      <c r="A36" s="6" t="e">
        <f t="shared" ca="1" si="0"/>
        <v>#NAME?</v>
      </c>
      <c r="B36" s="7">
        <v>350</v>
      </c>
      <c r="C36" s="8" t="s">
        <v>100</v>
      </c>
      <c r="D36" s="9">
        <v>3089</v>
      </c>
      <c r="E36" s="9">
        <v>3238</v>
      </c>
      <c r="F36" s="10">
        <f t="shared" si="1"/>
        <v>2.8434115353465121E-4</v>
      </c>
      <c r="G36" s="11">
        <v>62.801000000000002</v>
      </c>
      <c r="H36" s="12" t="s">
        <v>101</v>
      </c>
      <c r="I36" s="12" t="s">
        <v>19</v>
      </c>
      <c r="L36" s="13" t="s">
        <v>15</v>
      </c>
    </row>
    <row r="37" spans="1:30">
      <c r="A37" s="6" t="e">
        <f t="shared" ca="1" si="0"/>
        <v>#NAME?</v>
      </c>
      <c r="B37" s="7">
        <v>306</v>
      </c>
      <c r="C37" s="8" t="s">
        <v>102</v>
      </c>
      <c r="D37" s="9">
        <v>4016</v>
      </c>
      <c r="E37" s="9">
        <v>4202</v>
      </c>
      <c r="F37" s="10">
        <f t="shared" si="1"/>
        <v>3.6899367731704888E-4</v>
      </c>
      <c r="G37" s="11">
        <v>1055.9369999999999</v>
      </c>
      <c r="H37" s="12" t="s">
        <v>33</v>
      </c>
      <c r="I37" s="12" t="s">
        <v>14</v>
      </c>
      <c r="L37" s="13" t="s">
        <v>15</v>
      </c>
    </row>
    <row r="38" spans="1:30">
      <c r="A38" s="61" t="e">
        <f t="shared" ca="1" si="0"/>
        <v>#NAME?</v>
      </c>
      <c r="B38" s="62">
        <v>135</v>
      </c>
      <c r="C38" s="63" t="s">
        <v>103</v>
      </c>
      <c r="D38" s="64">
        <v>12568</v>
      </c>
      <c r="E38" s="64">
        <v>13491</v>
      </c>
      <c r="F38" s="65">
        <f t="shared" si="1"/>
        <v>1.1846962638468127E-3</v>
      </c>
      <c r="G38" s="66">
        <v>729.31600000000003</v>
      </c>
      <c r="H38" s="67" t="s">
        <v>65</v>
      </c>
      <c r="I38" s="67" t="s">
        <v>45</v>
      </c>
      <c r="J38" s="68">
        <v>43987</v>
      </c>
      <c r="K38" s="69" t="s">
        <v>104</v>
      </c>
      <c r="L38" s="13" t="s">
        <v>21</v>
      </c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</row>
    <row r="39" spans="1:30">
      <c r="A39" s="6" t="e">
        <f t="shared" ca="1" si="0"/>
        <v>#NAME?</v>
      </c>
      <c r="B39" s="7">
        <v>476</v>
      </c>
      <c r="C39" s="12" t="s">
        <v>105</v>
      </c>
      <c r="D39" s="9">
        <v>2003</v>
      </c>
      <c r="E39" s="9">
        <v>1726</v>
      </c>
      <c r="F39" s="10">
        <f t="shared" si="1"/>
        <v>1.5156665565188633E-4</v>
      </c>
      <c r="G39" s="11">
        <v>146.995</v>
      </c>
      <c r="H39" s="12" t="s">
        <v>70</v>
      </c>
      <c r="I39" s="12" t="s">
        <v>19</v>
      </c>
      <c r="J39" s="70">
        <v>46178</v>
      </c>
      <c r="K39" s="34" t="s">
        <v>106</v>
      </c>
      <c r="L39" s="13" t="s">
        <v>15</v>
      </c>
    </row>
    <row r="40" spans="1:30">
      <c r="A40" s="6" t="e">
        <f t="shared" ca="1" si="0"/>
        <v>#NAME?</v>
      </c>
      <c r="B40" s="7">
        <v>415</v>
      </c>
      <c r="C40" s="8" t="s">
        <v>107</v>
      </c>
      <c r="D40" s="9">
        <v>2367</v>
      </c>
      <c r="E40" s="9">
        <v>2527</v>
      </c>
      <c r="F40" s="10">
        <f t="shared" si="1"/>
        <v>2.2190552655406535E-4</v>
      </c>
      <c r="G40" s="11">
        <v>60.436999999999998</v>
      </c>
      <c r="H40" s="12" t="s">
        <v>36</v>
      </c>
      <c r="I40" s="12" t="s">
        <v>19</v>
      </c>
      <c r="L40" s="13" t="s">
        <v>15</v>
      </c>
    </row>
    <row r="41" spans="1:30">
      <c r="A41" s="6" t="e">
        <f t="shared" ca="1" si="0"/>
        <v>#NAME?</v>
      </c>
      <c r="B41" s="46">
        <v>260</v>
      </c>
      <c r="C41" s="47" t="s">
        <v>108</v>
      </c>
      <c r="D41" s="48">
        <v>5355</v>
      </c>
      <c r="E41" s="48">
        <v>5275</v>
      </c>
      <c r="F41" s="49">
        <f t="shared" si="1"/>
        <v>4.6321790762670939E-4</v>
      </c>
      <c r="G41" s="50">
        <v>515.46900000000005</v>
      </c>
      <c r="H41" s="51" t="s">
        <v>109</v>
      </c>
      <c r="I41" s="51" t="s">
        <v>19</v>
      </c>
      <c r="J41" s="52">
        <v>44050</v>
      </c>
      <c r="K41" s="24" t="s">
        <v>110</v>
      </c>
      <c r="L41" s="13" t="s">
        <v>15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>
      <c r="A42" s="6" t="e">
        <f t="shared" ca="1" si="0"/>
        <v>#NAME?</v>
      </c>
      <c r="B42" s="25">
        <v>155</v>
      </c>
      <c r="C42" s="26" t="s">
        <v>111</v>
      </c>
      <c r="D42" s="27">
        <v>11133</v>
      </c>
      <c r="E42" s="27">
        <v>11199</v>
      </c>
      <c r="F42" s="28">
        <f t="shared" si="1"/>
        <v>9.8342698531024043E-4</v>
      </c>
      <c r="G42" s="29">
        <v>647.99400000000003</v>
      </c>
      <c r="H42" s="30" t="s">
        <v>112</v>
      </c>
      <c r="I42" s="30" t="s">
        <v>19</v>
      </c>
      <c r="J42" s="31">
        <v>44390</v>
      </c>
      <c r="K42" s="32" t="s">
        <v>113</v>
      </c>
      <c r="L42" s="13" t="s">
        <v>15</v>
      </c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spans="1:30">
      <c r="A43" s="6" t="e">
        <f t="shared" ca="1" si="0"/>
        <v>#NAME?</v>
      </c>
      <c r="B43" s="7">
        <v>453</v>
      </c>
      <c r="C43" s="12" t="s">
        <v>114</v>
      </c>
      <c r="D43" s="9">
        <v>2307</v>
      </c>
      <c r="E43" s="9">
        <v>2031</v>
      </c>
      <c r="F43" s="10">
        <f t="shared" si="1"/>
        <v>1.7834987116395199E-4</v>
      </c>
      <c r="G43" s="11">
        <v>132.351</v>
      </c>
      <c r="H43" s="12" t="s">
        <v>70</v>
      </c>
      <c r="I43" s="12" t="s">
        <v>19</v>
      </c>
      <c r="J43" s="70">
        <v>46178</v>
      </c>
      <c r="K43" s="34" t="s">
        <v>115</v>
      </c>
      <c r="L43" s="13" t="s">
        <v>15</v>
      </c>
    </row>
    <row r="44" spans="1:30">
      <c r="A44" s="6" t="e">
        <f t="shared" ca="1" si="0"/>
        <v>#NAME?</v>
      </c>
      <c r="B44" s="46">
        <v>18</v>
      </c>
      <c r="C44" s="47" t="s">
        <v>116</v>
      </c>
      <c r="D44" s="48">
        <v>107341</v>
      </c>
      <c r="E44" s="48">
        <v>120454</v>
      </c>
      <c r="F44" s="49">
        <f t="shared" si="1"/>
        <v>1.0577526037017565E-2</v>
      </c>
      <c r="G44" s="50">
        <v>273.57600000000002</v>
      </c>
      <c r="H44" s="51" t="s">
        <v>62</v>
      </c>
      <c r="I44" s="51" t="s">
        <v>57</v>
      </c>
      <c r="J44" s="52">
        <v>43985</v>
      </c>
      <c r="K44" s="24" t="s">
        <v>117</v>
      </c>
      <c r="L44" s="13" t="s">
        <v>15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>
      <c r="A45" s="6" t="e">
        <f t="shared" ca="1" si="0"/>
        <v>#NAME?</v>
      </c>
      <c r="B45" s="7">
        <v>444</v>
      </c>
      <c r="C45" s="8" t="s">
        <v>118</v>
      </c>
      <c r="D45" s="9">
        <v>2114</v>
      </c>
      <c r="E45" s="9">
        <v>2104</v>
      </c>
      <c r="F45" s="10">
        <f t="shared" si="1"/>
        <v>1.8476028012257755E-4</v>
      </c>
      <c r="G45" s="11">
        <v>196.06399999999999</v>
      </c>
      <c r="H45" s="12" t="s">
        <v>36</v>
      </c>
      <c r="I45" s="12" t="s">
        <v>19</v>
      </c>
      <c r="L45" s="13" t="s">
        <v>15</v>
      </c>
    </row>
    <row r="46" spans="1:30">
      <c r="A46" s="6" t="e">
        <f t="shared" ca="1" si="0"/>
        <v>#NAME?</v>
      </c>
      <c r="B46" s="7">
        <v>212</v>
      </c>
      <c r="C46" s="8" t="s">
        <v>119</v>
      </c>
      <c r="D46" s="9">
        <v>6576</v>
      </c>
      <c r="E46" s="9">
        <v>6712</v>
      </c>
      <c r="F46" s="10">
        <f t="shared" si="1"/>
        <v>5.8940636890814665E-4</v>
      </c>
      <c r="G46" s="11">
        <v>109.557</v>
      </c>
      <c r="H46" s="12" t="s">
        <v>101</v>
      </c>
      <c r="I46" s="12" t="s">
        <v>19</v>
      </c>
      <c r="L46" s="13" t="s">
        <v>15</v>
      </c>
    </row>
    <row r="47" spans="1:30">
      <c r="A47" s="6" t="e">
        <f t="shared" ca="1" si="0"/>
        <v>#NAME?</v>
      </c>
      <c r="B47" s="7">
        <v>418</v>
      </c>
      <c r="C47" s="8" t="s">
        <v>120</v>
      </c>
      <c r="D47" s="9">
        <v>2441</v>
      </c>
      <c r="E47" s="9">
        <v>2473</v>
      </c>
      <c r="F47" s="10">
        <f t="shared" si="1"/>
        <v>2.1716358020110947E-4</v>
      </c>
      <c r="G47" s="11">
        <v>701.31500000000005</v>
      </c>
      <c r="H47" s="12" t="s">
        <v>42</v>
      </c>
      <c r="I47" s="12" t="s">
        <v>19</v>
      </c>
      <c r="L47" s="13" t="s">
        <v>15</v>
      </c>
    </row>
    <row r="48" spans="1:30">
      <c r="A48" s="6" t="e">
        <f t="shared" ca="1" si="0"/>
        <v>#NAME?</v>
      </c>
      <c r="B48" s="7">
        <v>405</v>
      </c>
      <c r="C48" s="12" t="s">
        <v>121</v>
      </c>
      <c r="D48" s="9">
        <v>2425</v>
      </c>
      <c r="E48" s="9">
        <v>2590</v>
      </c>
      <c r="F48" s="10">
        <f t="shared" si="1"/>
        <v>2.2743779729918055E-4</v>
      </c>
      <c r="G48" s="11">
        <v>504.11399999999998</v>
      </c>
      <c r="H48" s="12" t="s">
        <v>42</v>
      </c>
      <c r="I48" s="12" t="s">
        <v>19</v>
      </c>
      <c r="L48" s="13" t="s">
        <v>15</v>
      </c>
    </row>
    <row r="49" spans="1:30">
      <c r="A49" s="53" t="e">
        <f t="shared" ca="1" si="0"/>
        <v>#NAME?</v>
      </c>
      <c r="B49" s="14">
        <v>387</v>
      </c>
      <c r="C49" s="15" t="s">
        <v>122</v>
      </c>
      <c r="D49" s="16">
        <v>2778</v>
      </c>
      <c r="E49" s="16">
        <v>2788</v>
      </c>
      <c r="F49" s="17">
        <f t="shared" si="1"/>
        <v>2.4482493392668548E-4</v>
      </c>
      <c r="G49" s="18">
        <v>92.956000000000003</v>
      </c>
      <c r="H49" s="19" t="s">
        <v>62</v>
      </c>
      <c r="I49" s="19" t="s">
        <v>57</v>
      </c>
      <c r="J49" s="20">
        <v>44025</v>
      </c>
      <c r="K49" s="21" t="s">
        <v>123</v>
      </c>
      <c r="L49" s="13" t="s">
        <v>21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>
      <c r="A50" s="6" t="e">
        <f t="shared" ca="1" si="0"/>
        <v>#NAME?</v>
      </c>
      <c r="B50" s="46">
        <v>152</v>
      </c>
      <c r="C50" s="47" t="s">
        <v>124</v>
      </c>
      <c r="D50" s="48">
        <v>11556</v>
      </c>
      <c r="E50" s="48">
        <v>11349</v>
      </c>
      <c r="F50" s="49">
        <f t="shared" si="1"/>
        <v>9.9659905851289584E-4</v>
      </c>
      <c r="G50" s="50">
        <v>2623.12</v>
      </c>
      <c r="H50" s="51" t="s">
        <v>125</v>
      </c>
      <c r="I50" s="51" t="s">
        <v>57</v>
      </c>
      <c r="J50" s="52">
        <v>43947</v>
      </c>
      <c r="K50" s="24" t="s">
        <v>126</v>
      </c>
      <c r="L50" s="13" t="s">
        <v>15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1:30">
      <c r="A51" s="6" t="e">
        <f t="shared" ca="1" si="0"/>
        <v>#NAME?</v>
      </c>
      <c r="B51" s="46">
        <v>132</v>
      </c>
      <c r="C51" s="47" t="s">
        <v>127</v>
      </c>
      <c r="D51" s="48">
        <v>11792</v>
      </c>
      <c r="E51" s="48">
        <v>14055</v>
      </c>
      <c r="F51" s="49">
        <f t="shared" si="1"/>
        <v>1.2342232590887964E-3</v>
      </c>
      <c r="G51" s="50">
        <v>88.774000000000001</v>
      </c>
      <c r="H51" s="51" t="s">
        <v>44</v>
      </c>
      <c r="I51" s="51" t="s">
        <v>45</v>
      </c>
      <c r="J51" s="52">
        <v>43980</v>
      </c>
      <c r="K51" s="24" t="s">
        <v>128</v>
      </c>
      <c r="L51" s="13" t="s">
        <v>15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>
      <c r="A52" s="6" t="e">
        <f t="shared" ca="1" si="0"/>
        <v>#NAME?</v>
      </c>
      <c r="B52" s="7">
        <v>461</v>
      </c>
      <c r="C52" s="8" t="s">
        <v>129</v>
      </c>
      <c r="D52" s="9">
        <v>2328</v>
      </c>
      <c r="E52" s="9">
        <v>1987</v>
      </c>
      <c r="F52" s="10">
        <f t="shared" si="1"/>
        <v>1.7448606302450647E-4</v>
      </c>
      <c r="G52" s="11">
        <v>89.210999999999999</v>
      </c>
      <c r="H52" s="12" t="s">
        <v>101</v>
      </c>
      <c r="I52" s="12" t="s">
        <v>19</v>
      </c>
      <c r="L52" s="13" t="s">
        <v>15</v>
      </c>
    </row>
    <row r="53" spans="1:30">
      <c r="A53" s="6" t="e">
        <f t="shared" ca="1" si="0"/>
        <v>#NAME?</v>
      </c>
      <c r="B53" s="25">
        <v>144</v>
      </c>
      <c r="C53" s="26" t="s">
        <v>130</v>
      </c>
      <c r="D53" s="27">
        <v>11472</v>
      </c>
      <c r="E53" s="27">
        <v>12328</v>
      </c>
      <c r="F53" s="28">
        <f t="shared" si="1"/>
        <v>1.082568789615559E-3</v>
      </c>
      <c r="G53" s="29">
        <v>102.32599999999999</v>
      </c>
      <c r="H53" s="30" t="s">
        <v>73</v>
      </c>
      <c r="I53" s="30" t="s">
        <v>74</v>
      </c>
      <c r="J53" s="31">
        <v>44389</v>
      </c>
      <c r="K53" s="32" t="s">
        <v>131</v>
      </c>
      <c r="L53" s="13" t="s">
        <v>15</v>
      </c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spans="1:30">
      <c r="A54" s="6" t="e">
        <f t="shared" ca="1" si="0"/>
        <v>#NAME?</v>
      </c>
      <c r="B54" s="71">
        <v>189</v>
      </c>
      <c r="C54" s="72" t="s">
        <v>132</v>
      </c>
      <c r="D54" s="73">
        <v>7673</v>
      </c>
      <c r="E54" s="73">
        <v>7714</v>
      </c>
      <c r="F54" s="74">
        <f t="shared" si="1"/>
        <v>6.7739581790188371E-4</v>
      </c>
      <c r="G54" s="75">
        <v>265.58</v>
      </c>
      <c r="H54" s="76" t="s">
        <v>73</v>
      </c>
      <c r="I54" s="76" t="s">
        <v>74</v>
      </c>
      <c r="J54" s="77">
        <v>44390</v>
      </c>
      <c r="K54" s="78" t="s">
        <v>89</v>
      </c>
      <c r="L54" s="13" t="s">
        <v>21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spans="1:30">
      <c r="A55" s="6" t="e">
        <f t="shared" ca="1" si="0"/>
        <v>#NAME?</v>
      </c>
      <c r="B55" s="7">
        <v>228</v>
      </c>
      <c r="C55" s="8" t="s">
        <v>133</v>
      </c>
      <c r="D55" s="9">
        <v>6887</v>
      </c>
      <c r="E55" s="9">
        <v>6279</v>
      </c>
      <c r="F55" s="10">
        <f t="shared" si="1"/>
        <v>5.5138298426314852E-4</v>
      </c>
      <c r="G55" s="11">
        <v>1610.056</v>
      </c>
      <c r="H55" s="12" t="s">
        <v>134</v>
      </c>
      <c r="I55" s="12" t="s">
        <v>19</v>
      </c>
      <c r="L55" s="13" t="s">
        <v>15</v>
      </c>
    </row>
    <row r="56" spans="1:30">
      <c r="A56" s="53" t="e">
        <f t="shared" ca="1" si="0"/>
        <v>#NAME?</v>
      </c>
      <c r="B56" s="14">
        <v>440</v>
      </c>
      <c r="C56" s="15" t="s">
        <v>135</v>
      </c>
      <c r="D56" s="16">
        <v>2200</v>
      </c>
      <c r="E56" s="16">
        <v>2135</v>
      </c>
      <c r="F56" s="17">
        <f t="shared" si="1"/>
        <v>1.8748250858445964E-4</v>
      </c>
      <c r="G56" s="18">
        <v>200.55</v>
      </c>
      <c r="H56" s="19" t="s">
        <v>28</v>
      </c>
      <c r="I56" s="19" t="s">
        <v>19</v>
      </c>
      <c r="J56" s="20">
        <v>44171</v>
      </c>
      <c r="K56" s="21" t="s">
        <v>136</v>
      </c>
      <c r="L56" s="13" t="s">
        <v>21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>
      <c r="A57" s="6" t="e">
        <f t="shared" ca="1" si="0"/>
        <v>#NAME?</v>
      </c>
      <c r="B57" s="7">
        <v>340</v>
      </c>
      <c r="C57" s="12" t="s">
        <v>137</v>
      </c>
      <c r="D57" s="9">
        <v>3702</v>
      </c>
      <c r="E57" s="9">
        <v>3397</v>
      </c>
      <c r="F57" s="10">
        <f t="shared" si="1"/>
        <v>2.9830355112946577E-4</v>
      </c>
      <c r="G57" s="11">
        <v>131.631</v>
      </c>
      <c r="H57" s="12" t="s">
        <v>101</v>
      </c>
      <c r="I57" s="12" t="s">
        <v>19</v>
      </c>
      <c r="L57" s="13" t="s">
        <v>15</v>
      </c>
    </row>
    <row r="58" spans="1:30">
      <c r="A58" s="6" t="e">
        <f t="shared" ca="1" si="0"/>
        <v>#NAME?</v>
      </c>
      <c r="B58" s="46">
        <v>265</v>
      </c>
      <c r="C58" s="47" t="s">
        <v>138</v>
      </c>
      <c r="D58" s="48">
        <v>4677</v>
      </c>
      <c r="E58" s="48">
        <v>5074</v>
      </c>
      <c r="F58" s="49">
        <f t="shared" si="1"/>
        <v>4.455673295351514E-4</v>
      </c>
      <c r="G58" s="50">
        <v>105.35299999999999</v>
      </c>
      <c r="H58" s="51" t="s">
        <v>44</v>
      </c>
      <c r="I58" s="51" t="s">
        <v>45</v>
      </c>
      <c r="J58" s="52">
        <v>44025</v>
      </c>
      <c r="K58" s="24" t="s">
        <v>139</v>
      </c>
      <c r="L58" s="13" t="s">
        <v>15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>
      <c r="A59" s="6" t="e">
        <f t="shared" ca="1" si="0"/>
        <v>#NAME?</v>
      </c>
      <c r="B59" s="7">
        <v>106</v>
      </c>
      <c r="C59" s="8" t="s">
        <v>140</v>
      </c>
      <c r="D59" s="9">
        <v>20555</v>
      </c>
      <c r="E59" s="9">
        <v>20941</v>
      </c>
      <c r="F59" s="10">
        <f t="shared" si="1"/>
        <v>1.8389092329120231E-3</v>
      </c>
      <c r="G59" s="11">
        <v>752.18700000000001</v>
      </c>
      <c r="H59" s="12" t="s">
        <v>84</v>
      </c>
      <c r="I59" s="12" t="s">
        <v>45</v>
      </c>
      <c r="L59" s="13" t="s">
        <v>15</v>
      </c>
    </row>
    <row r="60" spans="1:30">
      <c r="A60" s="6" t="e">
        <f t="shared" ca="1" si="0"/>
        <v>#NAME?</v>
      </c>
      <c r="B60" s="7">
        <v>65</v>
      </c>
      <c r="C60" s="8" t="s">
        <v>141</v>
      </c>
      <c r="D60" s="9">
        <v>33700</v>
      </c>
      <c r="E60" s="9">
        <v>33624</v>
      </c>
      <c r="F60" s="10">
        <f t="shared" si="1"/>
        <v>2.9526519291071993E-3</v>
      </c>
      <c r="G60" s="11">
        <v>3047.1129999999998</v>
      </c>
      <c r="H60" s="12" t="s">
        <v>50</v>
      </c>
      <c r="I60" s="12" t="s">
        <v>51</v>
      </c>
      <c r="L60" s="13" t="s">
        <v>15</v>
      </c>
    </row>
    <row r="61" spans="1:30">
      <c r="A61" s="6" t="e">
        <f t="shared" ca="1" si="0"/>
        <v>#NAME?</v>
      </c>
      <c r="B61" s="7">
        <v>141</v>
      </c>
      <c r="C61" s="8" t="s">
        <v>142</v>
      </c>
      <c r="D61" s="9">
        <v>13685</v>
      </c>
      <c r="E61" s="9">
        <v>12561</v>
      </c>
      <c r="F61" s="10">
        <f t="shared" si="1"/>
        <v>1.1030294099903502E-3</v>
      </c>
      <c r="G61" s="11">
        <v>2373.174</v>
      </c>
      <c r="H61" s="12" t="s">
        <v>143</v>
      </c>
      <c r="I61" s="12" t="s">
        <v>25</v>
      </c>
      <c r="L61" s="13" t="s">
        <v>15</v>
      </c>
    </row>
    <row r="62" spans="1:30">
      <c r="A62" s="6" t="e">
        <f t="shared" ca="1" si="0"/>
        <v>#NAME?</v>
      </c>
      <c r="B62" s="7">
        <v>24</v>
      </c>
      <c r="C62" s="8" t="s">
        <v>144</v>
      </c>
      <c r="D62" s="9">
        <v>83827</v>
      </c>
      <c r="E62" s="9">
        <v>82201</v>
      </c>
      <c r="F62" s="10">
        <f t="shared" si="1"/>
        <v>7.2183839288764247E-3</v>
      </c>
      <c r="G62" s="11">
        <v>3736.1579999999999</v>
      </c>
      <c r="H62" s="12" t="s">
        <v>144</v>
      </c>
      <c r="I62" s="12" t="s">
        <v>74</v>
      </c>
      <c r="L62" s="13" t="s">
        <v>15</v>
      </c>
    </row>
    <row r="63" spans="1:30">
      <c r="A63" s="6" t="e">
        <f t="shared" ca="1" si="0"/>
        <v>#NAME?</v>
      </c>
      <c r="B63" s="14">
        <v>15</v>
      </c>
      <c r="C63" s="15" t="s">
        <v>145</v>
      </c>
      <c r="D63" s="16">
        <v>118278</v>
      </c>
      <c r="E63" s="16">
        <v>130293</v>
      </c>
      <c r="F63" s="17">
        <f t="shared" si="1"/>
        <v>1.1441526225290398E-2</v>
      </c>
      <c r="G63" s="18">
        <v>43.781999999999996</v>
      </c>
      <c r="H63" s="19" t="s">
        <v>48</v>
      </c>
      <c r="I63" s="19" t="s">
        <v>45</v>
      </c>
      <c r="J63" s="20">
        <v>43903</v>
      </c>
      <c r="K63" s="21" t="s">
        <v>146</v>
      </c>
      <c r="L63" s="13" t="s">
        <v>21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1:30">
      <c r="A64" s="6" t="e">
        <f t="shared" ca="1" si="0"/>
        <v>#NAME?</v>
      </c>
      <c r="B64" s="46">
        <v>266</v>
      </c>
      <c r="C64" s="47" t="s">
        <v>147</v>
      </c>
      <c r="D64" s="48">
        <v>4865</v>
      </c>
      <c r="E64" s="48">
        <v>5065</v>
      </c>
      <c r="F64" s="49">
        <f t="shared" si="1"/>
        <v>4.4477700514299208E-4</v>
      </c>
      <c r="G64" s="50">
        <v>204.05500000000001</v>
      </c>
      <c r="H64" s="51" t="s">
        <v>109</v>
      </c>
      <c r="I64" s="51" t="s">
        <v>19</v>
      </c>
      <c r="J64" s="52">
        <v>44050</v>
      </c>
      <c r="K64" s="24" t="s">
        <v>148</v>
      </c>
      <c r="L64" s="13" t="s">
        <v>15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1:30">
      <c r="A65" s="6" t="e">
        <f t="shared" ca="1" si="0"/>
        <v>#NAME?</v>
      </c>
      <c r="B65" s="46">
        <v>271</v>
      </c>
      <c r="C65" s="47" t="s">
        <v>149</v>
      </c>
      <c r="D65" s="48">
        <v>4954</v>
      </c>
      <c r="E65" s="48">
        <v>4856</v>
      </c>
      <c r="F65" s="49">
        <f t="shared" si="1"/>
        <v>4.2642391648062576E-4</v>
      </c>
      <c r="G65" s="50">
        <v>261.303</v>
      </c>
      <c r="H65" s="51" t="s">
        <v>150</v>
      </c>
      <c r="I65" s="51" t="s">
        <v>19</v>
      </c>
      <c r="J65" s="52">
        <v>44170</v>
      </c>
      <c r="K65" s="24" t="s">
        <v>151</v>
      </c>
      <c r="L65" s="13" t="s">
        <v>15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>
      <c r="A66" s="6" t="e">
        <f t="shared" ca="1" si="0"/>
        <v>#NAME?</v>
      </c>
      <c r="B66" s="7">
        <v>276</v>
      </c>
      <c r="C66" s="8" t="s">
        <v>152</v>
      </c>
      <c r="D66" s="9">
        <v>5071</v>
      </c>
      <c r="E66" s="9">
        <v>4788</v>
      </c>
      <c r="F66" s="10">
        <f t="shared" si="1"/>
        <v>4.2045257662875541E-4</v>
      </c>
      <c r="G66" s="11">
        <v>189.16</v>
      </c>
      <c r="H66" s="12" t="s">
        <v>39</v>
      </c>
      <c r="I66" s="12" t="s">
        <v>19</v>
      </c>
      <c r="L66" s="13" t="s">
        <v>15</v>
      </c>
    </row>
    <row r="67" spans="1:30">
      <c r="A67" s="6" t="e">
        <f t="shared" ca="1" si="0"/>
        <v>#NAME?</v>
      </c>
      <c r="B67" s="46">
        <v>33</v>
      </c>
      <c r="C67" s="47" t="s">
        <v>65</v>
      </c>
      <c r="D67" s="48">
        <v>62759</v>
      </c>
      <c r="E67" s="48">
        <v>66261</v>
      </c>
      <c r="F67" s="49">
        <f t="shared" si="1"/>
        <v>5.8186316165409271E-3</v>
      </c>
      <c r="G67" s="50">
        <v>1680.1679999999999</v>
      </c>
      <c r="H67" s="51" t="s">
        <v>65</v>
      </c>
      <c r="I67" s="51" t="s">
        <v>45</v>
      </c>
      <c r="J67" s="52">
        <v>43961</v>
      </c>
      <c r="K67" s="24" t="s">
        <v>139</v>
      </c>
      <c r="L67" s="13" t="s">
        <v>15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1:30">
      <c r="A68" s="53" t="e">
        <f t="shared" ca="1" si="0"/>
        <v>#NAME?</v>
      </c>
      <c r="B68" s="14">
        <v>396</v>
      </c>
      <c r="C68" s="15" t="s">
        <v>153</v>
      </c>
      <c r="D68" s="16">
        <v>2591</v>
      </c>
      <c r="E68" s="16">
        <v>2724</v>
      </c>
      <c r="F68" s="17">
        <f t="shared" si="1"/>
        <v>2.3920484936021922E-4</v>
      </c>
      <c r="G68" s="18">
        <v>138.06899999999999</v>
      </c>
      <c r="H68" s="19" t="s">
        <v>18</v>
      </c>
      <c r="I68" s="19" t="s">
        <v>19</v>
      </c>
      <c r="J68" s="20">
        <v>44026</v>
      </c>
      <c r="K68" s="21" t="s">
        <v>20</v>
      </c>
      <c r="L68" s="13" t="s">
        <v>21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>
      <c r="A69" s="6" t="e">
        <f t="shared" ca="1" si="0"/>
        <v>#NAME?</v>
      </c>
      <c r="B69" s="46">
        <v>225</v>
      </c>
      <c r="C69" s="47" t="s">
        <v>154</v>
      </c>
      <c r="D69" s="48">
        <v>6545</v>
      </c>
      <c r="E69" s="48">
        <v>6431</v>
      </c>
      <c r="F69" s="49">
        <f t="shared" si="1"/>
        <v>5.6473068510850578E-4</v>
      </c>
      <c r="G69" s="50">
        <v>1207.9159999999999</v>
      </c>
      <c r="H69" s="51" t="s">
        <v>125</v>
      </c>
      <c r="I69" s="51" t="s">
        <v>57</v>
      </c>
      <c r="J69" s="52">
        <v>43947</v>
      </c>
      <c r="K69" s="24" t="s">
        <v>155</v>
      </c>
      <c r="L69" s="13" t="s">
        <v>15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>
      <c r="A70" s="6" t="e">
        <f t="shared" ca="1" si="0"/>
        <v>#NAME?</v>
      </c>
      <c r="B70" s="46">
        <v>343</v>
      </c>
      <c r="C70" s="47" t="s">
        <v>156</v>
      </c>
      <c r="D70" s="48">
        <v>3247</v>
      </c>
      <c r="E70" s="48">
        <v>3380</v>
      </c>
      <c r="F70" s="49">
        <f t="shared" si="1"/>
        <v>2.9681071616649817E-4</v>
      </c>
      <c r="G70" s="50">
        <v>537.99400000000003</v>
      </c>
      <c r="H70" s="51" t="s">
        <v>125</v>
      </c>
      <c r="I70" s="51" t="s">
        <v>57</v>
      </c>
      <c r="J70" s="52">
        <v>44015</v>
      </c>
      <c r="K70" s="24" t="s">
        <v>157</v>
      </c>
      <c r="L70" s="13" t="s">
        <v>15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>
      <c r="A71" s="6" t="e">
        <f t="shared" ca="1" si="0"/>
        <v>#NAME?</v>
      </c>
      <c r="B71" s="7">
        <v>253</v>
      </c>
      <c r="C71" s="8" t="s">
        <v>158</v>
      </c>
      <c r="D71" s="9">
        <v>6117</v>
      </c>
      <c r="E71" s="9">
        <v>5474</v>
      </c>
      <c r="F71" s="10">
        <f t="shared" si="1"/>
        <v>4.8069285807556537E-4</v>
      </c>
      <c r="G71" s="11">
        <v>224.80099999999999</v>
      </c>
      <c r="H71" s="12" t="s">
        <v>150</v>
      </c>
      <c r="I71" s="12" t="s">
        <v>19</v>
      </c>
      <c r="L71" s="13" t="s">
        <v>15</v>
      </c>
    </row>
    <row r="72" spans="1:30">
      <c r="A72" s="6" t="e">
        <f t="shared" ca="1" si="0"/>
        <v>#NAME?</v>
      </c>
      <c r="B72" s="7">
        <v>254</v>
      </c>
      <c r="C72" s="8" t="s">
        <v>159</v>
      </c>
      <c r="D72" s="9">
        <v>5509</v>
      </c>
      <c r="E72" s="9">
        <v>5454</v>
      </c>
      <c r="F72" s="10">
        <f t="shared" si="1"/>
        <v>4.7893658164854466E-4</v>
      </c>
      <c r="G72" s="11">
        <v>276.16199999999998</v>
      </c>
      <c r="H72" s="12" t="s">
        <v>70</v>
      </c>
      <c r="I72" s="12" t="s">
        <v>19</v>
      </c>
      <c r="J72" s="70">
        <v>46178</v>
      </c>
      <c r="K72" s="34" t="s">
        <v>160</v>
      </c>
      <c r="L72" s="13" t="s">
        <v>15</v>
      </c>
    </row>
    <row r="73" spans="1:30">
      <c r="A73" s="6" t="e">
        <f t="shared" ca="1" si="0"/>
        <v>#NAME?</v>
      </c>
      <c r="B73" s="14">
        <v>32</v>
      </c>
      <c r="C73" s="15" t="s">
        <v>161</v>
      </c>
      <c r="D73" s="16">
        <v>60081</v>
      </c>
      <c r="E73" s="16">
        <v>66712</v>
      </c>
      <c r="F73" s="17">
        <f t="shared" si="1"/>
        <v>5.8582356499702441E-3</v>
      </c>
      <c r="G73" s="18">
        <v>60.808999999999997</v>
      </c>
      <c r="H73" s="19" t="s">
        <v>48</v>
      </c>
      <c r="I73" s="19" t="s">
        <v>45</v>
      </c>
      <c r="J73" s="20">
        <v>43980</v>
      </c>
      <c r="K73" s="21" t="s">
        <v>162</v>
      </c>
      <c r="L73" s="13" t="s">
        <v>21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>
      <c r="A74" s="6" t="e">
        <f t="shared" ca="1" si="0"/>
        <v>#NAME?</v>
      </c>
      <c r="B74" s="7">
        <v>292</v>
      </c>
      <c r="C74" s="8" t="s">
        <v>163</v>
      </c>
      <c r="D74" s="9">
        <v>5459</v>
      </c>
      <c r="E74" s="9">
        <v>4596</v>
      </c>
      <c r="F74" s="10">
        <f t="shared" si="1"/>
        <v>4.0359232292935668E-4</v>
      </c>
      <c r="G74" s="11">
        <v>220.71899999999999</v>
      </c>
      <c r="H74" s="12" t="s">
        <v>101</v>
      </c>
      <c r="I74" s="12" t="s">
        <v>19</v>
      </c>
      <c r="L74" s="13" t="s">
        <v>15</v>
      </c>
    </row>
    <row r="75" spans="1:30">
      <c r="A75" s="6" t="e">
        <f t="shared" ca="1" si="0"/>
        <v>#NAME?</v>
      </c>
      <c r="B75" s="7">
        <v>345</v>
      </c>
      <c r="C75" s="8" t="s">
        <v>164</v>
      </c>
      <c r="D75" s="9">
        <v>3494</v>
      </c>
      <c r="E75" s="9">
        <v>3345</v>
      </c>
      <c r="F75" s="10">
        <f t="shared" si="1"/>
        <v>2.9373723241921194E-4</v>
      </c>
      <c r="G75" s="11">
        <v>226.202</v>
      </c>
      <c r="H75" s="12" t="s">
        <v>42</v>
      </c>
      <c r="I75" s="12" t="s">
        <v>19</v>
      </c>
      <c r="L75" s="13" t="s">
        <v>15</v>
      </c>
    </row>
    <row r="76" spans="1:30">
      <c r="A76" s="79" t="e">
        <f t="shared" ca="1" si="0"/>
        <v>#NAME?</v>
      </c>
      <c r="B76" s="25">
        <v>70</v>
      </c>
      <c r="C76" s="26" t="s">
        <v>165</v>
      </c>
      <c r="D76" s="27">
        <v>30176</v>
      </c>
      <c r="E76" s="27">
        <v>31365</v>
      </c>
      <c r="F76" s="28">
        <f t="shared" si="1"/>
        <v>2.7542805066752113E-3</v>
      </c>
      <c r="G76" s="29">
        <v>944.05799999999999</v>
      </c>
      <c r="H76" s="30" t="s">
        <v>82</v>
      </c>
      <c r="I76" s="30" t="s">
        <v>74</v>
      </c>
      <c r="J76" s="31">
        <v>44790</v>
      </c>
      <c r="K76" s="32" t="s">
        <v>166</v>
      </c>
      <c r="L76" s="80" t="s">
        <v>15</v>
      </c>
      <c r="M76" s="32"/>
      <c r="N76" s="32"/>
      <c r="O76" s="32"/>
    </row>
    <row r="77" spans="1:30">
      <c r="A77" s="6" t="e">
        <f t="shared" ca="1" si="0"/>
        <v>#NAME?</v>
      </c>
      <c r="B77" s="7">
        <v>232</v>
      </c>
      <c r="C77" s="8" t="s">
        <v>167</v>
      </c>
      <c r="D77" s="9">
        <v>6535</v>
      </c>
      <c r="E77" s="9">
        <v>6198</v>
      </c>
      <c r="F77" s="10">
        <f t="shared" si="1"/>
        <v>5.4427006473371472E-4</v>
      </c>
      <c r="G77" s="11">
        <v>247.047</v>
      </c>
      <c r="H77" s="12" t="s">
        <v>31</v>
      </c>
      <c r="I77" s="12" t="s">
        <v>19</v>
      </c>
      <c r="L77" s="13" t="s">
        <v>15</v>
      </c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spans="1:30">
      <c r="A78" s="6" t="e">
        <f t="shared" ca="1" si="0"/>
        <v>#NAME?</v>
      </c>
      <c r="B78" s="7">
        <v>170</v>
      </c>
      <c r="C78" s="8" t="s">
        <v>168</v>
      </c>
      <c r="D78" s="9">
        <v>8776</v>
      </c>
      <c r="E78" s="9">
        <v>9584</v>
      </c>
      <c r="F78" s="10">
        <f t="shared" si="1"/>
        <v>8.416076638283191E-4</v>
      </c>
      <c r="G78" s="11">
        <v>933.62800000000004</v>
      </c>
      <c r="H78" s="12" t="s">
        <v>50</v>
      </c>
      <c r="I78" s="12" t="s">
        <v>51</v>
      </c>
      <c r="L78" s="13" t="s">
        <v>15</v>
      </c>
    </row>
    <row r="79" spans="1:30">
      <c r="A79" s="6" t="e">
        <f t="shared" ca="1" si="0"/>
        <v>#NAME?</v>
      </c>
      <c r="B79" s="46">
        <v>48</v>
      </c>
      <c r="C79" s="47" t="s">
        <v>169</v>
      </c>
      <c r="D79" s="48">
        <v>39238</v>
      </c>
      <c r="E79" s="48">
        <v>44998</v>
      </c>
      <c r="F79" s="49">
        <f t="shared" si="1"/>
        <v>3.9514463331538708E-3</v>
      </c>
      <c r="G79" s="50">
        <v>253.70400000000001</v>
      </c>
      <c r="H79" s="51" t="s">
        <v>170</v>
      </c>
      <c r="I79" s="51" t="s">
        <v>45</v>
      </c>
      <c r="J79" s="52">
        <v>43947</v>
      </c>
      <c r="K79" s="24" t="s">
        <v>171</v>
      </c>
      <c r="L79" s="13" t="s">
        <v>15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>
      <c r="A80" s="6" t="e">
        <f t="shared" ca="1" si="0"/>
        <v>#NAME?</v>
      </c>
      <c r="B80" s="7">
        <v>42</v>
      </c>
      <c r="C80" s="8" t="s">
        <v>172</v>
      </c>
      <c r="D80" s="9">
        <v>53268</v>
      </c>
      <c r="E80" s="9">
        <v>56045</v>
      </c>
      <c r="F80" s="10">
        <f t="shared" si="1"/>
        <v>4.9215256176187543E-3</v>
      </c>
      <c r="G80" s="11">
        <v>3526.2530000000002</v>
      </c>
      <c r="H80" s="12" t="s">
        <v>77</v>
      </c>
      <c r="I80" s="12" t="s">
        <v>51</v>
      </c>
      <c r="L80" s="13" t="s">
        <v>15</v>
      </c>
    </row>
    <row r="81" spans="1:30">
      <c r="A81" s="6" t="e">
        <f t="shared" ca="1" si="0"/>
        <v>#NAME?</v>
      </c>
      <c r="B81" s="46">
        <v>3</v>
      </c>
      <c r="C81" s="47" t="s">
        <v>173</v>
      </c>
      <c r="D81" s="48">
        <v>323827</v>
      </c>
      <c r="E81" s="48">
        <v>350022</v>
      </c>
      <c r="F81" s="49">
        <f t="shared" si="1"/>
        <v>3.0736769376931958E-2</v>
      </c>
      <c r="G81" s="50">
        <v>130.78899999999999</v>
      </c>
      <c r="H81" s="51" t="s">
        <v>48</v>
      </c>
      <c r="I81" s="51" t="s">
        <v>45</v>
      </c>
      <c r="J81" s="52">
        <v>43969</v>
      </c>
      <c r="K81" s="24" t="s">
        <v>174</v>
      </c>
      <c r="L81" s="13" t="s">
        <v>15</v>
      </c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>
      <c r="A82" s="6" t="e">
        <f t="shared" ca="1" si="0"/>
        <v>#NAME?</v>
      </c>
      <c r="B82" s="25">
        <v>474</v>
      </c>
      <c r="C82" s="26" t="s">
        <v>175</v>
      </c>
      <c r="D82" s="27">
        <v>1807</v>
      </c>
      <c r="E82" s="27">
        <v>1729</v>
      </c>
      <c r="F82" s="28">
        <f t="shared" si="1"/>
        <v>1.5183009711593944E-4</v>
      </c>
      <c r="G82" s="29">
        <v>82.292000000000002</v>
      </c>
      <c r="H82" s="30" t="s">
        <v>73</v>
      </c>
      <c r="I82" s="30" t="s">
        <v>74</v>
      </c>
      <c r="J82" s="31">
        <v>44389</v>
      </c>
      <c r="K82" s="32" t="s">
        <v>176</v>
      </c>
      <c r="L82" s="13" t="s">
        <v>15</v>
      </c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spans="1:30">
      <c r="A83" s="6" t="e">
        <f t="shared" ca="1" si="0"/>
        <v>#NAME?</v>
      </c>
      <c r="B83" s="46">
        <v>479</v>
      </c>
      <c r="C83" s="51" t="s">
        <v>177</v>
      </c>
      <c r="D83" s="48">
        <v>1753</v>
      </c>
      <c r="E83" s="48">
        <v>1668</v>
      </c>
      <c r="F83" s="49">
        <f t="shared" si="1"/>
        <v>1.4647345401352631E-4</v>
      </c>
      <c r="G83" s="50">
        <v>526.85</v>
      </c>
      <c r="H83" s="51" t="s">
        <v>125</v>
      </c>
      <c r="I83" s="51" t="s">
        <v>57</v>
      </c>
      <c r="J83" s="52">
        <v>44016</v>
      </c>
      <c r="K83" s="24" t="s">
        <v>178</v>
      </c>
      <c r="L83" s="13" t="s">
        <v>15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>
      <c r="A84" s="6" t="e">
        <f t="shared" ca="1" si="0"/>
        <v>#NAME?</v>
      </c>
      <c r="B84" s="46">
        <v>43</v>
      </c>
      <c r="C84" s="47" t="s">
        <v>179</v>
      </c>
      <c r="D84" s="48">
        <v>42047</v>
      </c>
      <c r="E84" s="48">
        <v>53049</v>
      </c>
      <c r="F84" s="49">
        <f t="shared" si="1"/>
        <v>4.6584354088510535E-3</v>
      </c>
      <c r="G84" s="50">
        <v>98.29</v>
      </c>
      <c r="H84" s="51" t="s">
        <v>79</v>
      </c>
      <c r="I84" s="51" t="s">
        <v>45</v>
      </c>
      <c r="J84" s="52">
        <v>43999</v>
      </c>
      <c r="K84" s="24" t="s">
        <v>80</v>
      </c>
      <c r="L84" s="13" t="s">
        <v>15</v>
      </c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>
      <c r="A85" s="6" t="e">
        <f t="shared" ca="1" si="0"/>
        <v>#NAME?</v>
      </c>
      <c r="B85" s="7">
        <v>328</v>
      </c>
      <c r="C85" s="8" t="s">
        <v>180</v>
      </c>
      <c r="D85" s="9">
        <v>3107</v>
      </c>
      <c r="E85" s="9">
        <v>3602</v>
      </c>
      <c r="F85" s="10">
        <f t="shared" si="1"/>
        <v>3.1630538450642791E-4</v>
      </c>
      <c r="G85" s="11">
        <v>1007.796</v>
      </c>
      <c r="H85" s="12" t="s">
        <v>181</v>
      </c>
      <c r="I85" s="12" t="s">
        <v>25</v>
      </c>
      <c r="L85" s="13" t="s">
        <v>15</v>
      </c>
    </row>
    <row r="86" spans="1:30">
      <c r="A86" s="6" t="e">
        <f t="shared" ca="1" si="0"/>
        <v>#NAME?</v>
      </c>
      <c r="B86" s="46">
        <v>89</v>
      </c>
      <c r="C86" s="47" t="s">
        <v>182</v>
      </c>
      <c r="D86" s="48">
        <v>24294</v>
      </c>
      <c r="E86" s="48">
        <v>25354</v>
      </c>
      <c r="F86" s="49">
        <f t="shared" si="1"/>
        <v>2.2264316265341402E-3</v>
      </c>
      <c r="G86" s="50">
        <v>783.62400000000002</v>
      </c>
      <c r="H86" s="51" t="s">
        <v>77</v>
      </c>
      <c r="I86" s="51" t="s">
        <v>51</v>
      </c>
      <c r="J86" s="52">
        <v>43988</v>
      </c>
      <c r="K86" s="24" t="s">
        <v>183</v>
      </c>
      <c r="L86" s="13" t="s">
        <v>15</v>
      </c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>
      <c r="A87" s="6" t="e">
        <f t="shared" ca="1" si="0"/>
        <v>#NAME?</v>
      </c>
      <c r="B87" s="46">
        <v>147</v>
      </c>
      <c r="C87" s="47" t="s">
        <v>184</v>
      </c>
      <c r="D87" s="48">
        <v>11613</v>
      </c>
      <c r="E87" s="48">
        <v>11940</v>
      </c>
      <c r="F87" s="49">
        <f t="shared" si="1"/>
        <v>1.0484970269313573E-3</v>
      </c>
      <c r="G87" s="50">
        <v>183.12</v>
      </c>
      <c r="H87" s="51" t="s">
        <v>44</v>
      </c>
      <c r="I87" s="51" t="s">
        <v>45</v>
      </c>
      <c r="J87" s="52">
        <v>43977</v>
      </c>
      <c r="K87" s="24" t="s">
        <v>185</v>
      </c>
      <c r="L87" s="13" t="s">
        <v>15</v>
      </c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>
      <c r="A88" s="6" t="e">
        <f t="shared" ca="1" si="0"/>
        <v>#NAME?</v>
      </c>
      <c r="B88" s="46">
        <v>393</v>
      </c>
      <c r="C88" s="47" t="s">
        <v>186</v>
      </c>
      <c r="D88" s="48">
        <v>2636</v>
      </c>
      <c r="E88" s="48">
        <v>2750</v>
      </c>
      <c r="F88" s="49">
        <f t="shared" si="1"/>
        <v>2.4148800871534614E-4</v>
      </c>
      <c r="G88" s="50">
        <v>73.966999999999999</v>
      </c>
      <c r="H88" s="51" t="s">
        <v>73</v>
      </c>
      <c r="I88" s="51" t="s">
        <v>74</v>
      </c>
      <c r="J88" s="52">
        <v>44027</v>
      </c>
      <c r="K88" s="24" t="s">
        <v>187</v>
      </c>
      <c r="L88" s="13" t="s">
        <v>15</v>
      </c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>
      <c r="A89" s="6" t="e">
        <f t="shared" ca="1" si="0"/>
        <v>#NAME?</v>
      </c>
      <c r="B89" s="46">
        <v>293</v>
      </c>
      <c r="C89" s="47" t="s">
        <v>188</v>
      </c>
      <c r="D89" s="48">
        <v>3890</v>
      </c>
      <c r="E89" s="48">
        <v>4589</v>
      </c>
      <c r="F89" s="49">
        <f t="shared" si="1"/>
        <v>4.0297762617989944E-4</v>
      </c>
      <c r="G89" s="50">
        <v>412.88900000000001</v>
      </c>
      <c r="H89" s="51" t="s">
        <v>79</v>
      </c>
      <c r="I89" s="51" t="s">
        <v>45</v>
      </c>
      <c r="J89" s="52">
        <v>43960</v>
      </c>
      <c r="K89" s="24" t="s">
        <v>189</v>
      </c>
      <c r="L89" s="13" t="s">
        <v>15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>
      <c r="A90" s="6" t="e">
        <f t="shared" ca="1" si="0"/>
        <v>#NAME?</v>
      </c>
      <c r="B90" s="46">
        <v>180</v>
      </c>
      <c r="C90" s="47" t="s">
        <v>190</v>
      </c>
      <c r="D90" s="48">
        <v>7313</v>
      </c>
      <c r="E90" s="48">
        <v>8270</v>
      </c>
      <c r="F90" s="49">
        <f t="shared" si="1"/>
        <v>7.2622030257305913E-4</v>
      </c>
      <c r="G90" s="50">
        <v>294.45600000000002</v>
      </c>
      <c r="H90" s="51" t="s">
        <v>79</v>
      </c>
      <c r="I90" s="51" t="s">
        <v>45</v>
      </c>
      <c r="J90" s="52">
        <v>43979</v>
      </c>
      <c r="K90" s="24" t="s">
        <v>191</v>
      </c>
      <c r="L90" s="13" t="s">
        <v>15</v>
      </c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>
      <c r="A91" s="6" t="e">
        <f t="shared" ca="1" si="0"/>
        <v>#NAME?</v>
      </c>
      <c r="B91" s="46">
        <v>36</v>
      </c>
      <c r="C91" s="47" t="s">
        <v>36</v>
      </c>
      <c r="D91" s="48">
        <v>59301</v>
      </c>
      <c r="E91" s="48">
        <v>62110</v>
      </c>
      <c r="F91" s="49">
        <f t="shared" si="1"/>
        <v>5.4541164441127814E-3</v>
      </c>
      <c r="G91" s="50">
        <v>665.22900000000004</v>
      </c>
      <c r="H91" s="51" t="s">
        <v>36</v>
      </c>
      <c r="I91" s="51" t="s">
        <v>19</v>
      </c>
      <c r="J91" s="52">
        <v>44171</v>
      </c>
      <c r="K91" s="24" t="s">
        <v>192</v>
      </c>
      <c r="L91" s="13" t="s">
        <v>15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>
      <c r="A92" s="6" t="e">
        <f t="shared" ca="1" si="0"/>
        <v>#NAME?</v>
      </c>
      <c r="B92" s="46">
        <v>74</v>
      </c>
      <c r="C92" s="47" t="s">
        <v>193</v>
      </c>
      <c r="D92" s="48">
        <v>25193</v>
      </c>
      <c r="E92" s="48">
        <v>29833</v>
      </c>
      <c r="F92" s="49">
        <f t="shared" si="1"/>
        <v>2.6197497323654259E-3</v>
      </c>
      <c r="G92" s="50">
        <v>230.68</v>
      </c>
      <c r="H92" s="51" t="s">
        <v>62</v>
      </c>
      <c r="I92" s="51" t="s">
        <v>57</v>
      </c>
      <c r="J92" s="52">
        <v>43984</v>
      </c>
      <c r="K92" s="24" t="s">
        <v>194</v>
      </c>
      <c r="L92" s="13" t="s">
        <v>15</v>
      </c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>
      <c r="A93" s="6" t="e">
        <f t="shared" ca="1" si="0"/>
        <v>#NAME?</v>
      </c>
      <c r="B93" s="25">
        <v>494</v>
      </c>
      <c r="C93" s="26" t="s">
        <v>195</v>
      </c>
      <c r="D93" s="27">
        <v>1607</v>
      </c>
      <c r="E93" s="27">
        <v>1404</v>
      </c>
      <c r="F93" s="28">
        <f t="shared" si="1"/>
        <v>1.232906051768531E-4</v>
      </c>
      <c r="G93" s="29">
        <v>83.155000000000001</v>
      </c>
      <c r="H93" s="30" t="s">
        <v>70</v>
      </c>
      <c r="I93" s="30" t="s">
        <v>19</v>
      </c>
      <c r="J93" s="31">
        <v>44390</v>
      </c>
      <c r="K93" s="32" t="s">
        <v>196</v>
      </c>
      <c r="L93" s="13" t="s">
        <v>15</v>
      </c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spans="1:30">
      <c r="A94" s="6" t="e">
        <f t="shared" ca="1" si="0"/>
        <v>#NAME?</v>
      </c>
      <c r="B94" s="46">
        <v>173</v>
      </c>
      <c r="C94" s="47" t="s">
        <v>197</v>
      </c>
      <c r="D94" s="48">
        <v>8648</v>
      </c>
      <c r="E94" s="48">
        <v>9031</v>
      </c>
      <c r="F94" s="49">
        <f t="shared" si="1"/>
        <v>7.9304662062119674E-4</v>
      </c>
      <c r="G94" s="50">
        <v>272.041</v>
      </c>
      <c r="H94" s="51" t="s">
        <v>18</v>
      </c>
      <c r="I94" s="51" t="s">
        <v>19</v>
      </c>
      <c r="J94" s="52">
        <v>43985</v>
      </c>
      <c r="K94" s="24" t="s">
        <v>198</v>
      </c>
      <c r="L94" s="13" t="s">
        <v>15</v>
      </c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>
      <c r="A95" s="6" t="e">
        <f t="shared" ca="1" si="0"/>
        <v>#NAME?</v>
      </c>
      <c r="B95" s="46">
        <v>354</v>
      </c>
      <c r="C95" s="47" t="s">
        <v>199</v>
      </c>
      <c r="D95" s="48">
        <v>3007</v>
      </c>
      <c r="E95" s="48">
        <v>3189</v>
      </c>
      <c r="F95" s="49">
        <f t="shared" si="1"/>
        <v>2.8003827628845048E-4</v>
      </c>
      <c r="G95" s="50">
        <v>235.863</v>
      </c>
      <c r="H95" s="51" t="s">
        <v>18</v>
      </c>
      <c r="I95" s="51" t="s">
        <v>19</v>
      </c>
      <c r="J95" s="52">
        <v>43928</v>
      </c>
      <c r="K95" s="24" t="s">
        <v>200</v>
      </c>
      <c r="L95" s="13" t="s">
        <v>15</v>
      </c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>
      <c r="A96" s="6" t="e">
        <f t="shared" ca="1" si="0"/>
        <v>#NAME?</v>
      </c>
      <c r="B96" s="7">
        <v>174</v>
      </c>
      <c r="C96" s="8" t="s">
        <v>201</v>
      </c>
      <c r="D96" s="9">
        <v>9323</v>
      </c>
      <c r="E96" s="9">
        <v>8774</v>
      </c>
      <c r="F96" s="10">
        <f t="shared" si="1"/>
        <v>7.7047846853398072E-4</v>
      </c>
      <c r="G96" s="11">
        <v>583.18399999999997</v>
      </c>
      <c r="H96" s="12" t="s">
        <v>134</v>
      </c>
      <c r="I96" s="12" t="s">
        <v>19</v>
      </c>
      <c r="L96" s="13" t="s">
        <v>15</v>
      </c>
    </row>
    <row r="97" spans="1:30">
      <c r="A97" s="6" t="e">
        <f t="shared" ca="1" si="0"/>
        <v>#NAME?</v>
      </c>
      <c r="B97" s="46">
        <v>2</v>
      </c>
      <c r="C97" s="47" t="s">
        <v>62</v>
      </c>
      <c r="D97" s="48">
        <v>437889</v>
      </c>
      <c r="E97" s="48">
        <v>515213</v>
      </c>
      <c r="F97" s="49">
        <f t="shared" si="1"/>
        <v>4.5242822339730773E-2</v>
      </c>
      <c r="G97" s="50">
        <v>1652.3779999999999</v>
      </c>
      <c r="H97" s="51" t="s">
        <v>62</v>
      </c>
      <c r="I97" s="51" t="s">
        <v>57</v>
      </c>
      <c r="J97" s="52">
        <v>43986</v>
      </c>
      <c r="K97" s="24" t="s">
        <v>202</v>
      </c>
      <c r="L97" s="13" t="s">
        <v>15</v>
      </c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>
      <c r="A98" s="6" t="e">
        <f t="shared" ca="1" si="0"/>
        <v>#NAME?</v>
      </c>
      <c r="B98" s="25">
        <v>377</v>
      </c>
      <c r="C98" s="26" t="s">
        <v>203</v>
      </c>
      <c r="D98" s="27">
        <v>2967</v>
      </c>
      <c r="E98" s="27">
        <v>2905</v>
      </c>
      <c r="F98" s="28">
        <f t="shared" si="1"/>
        <v>2.5509915102475656E-4</v>
      </c>
      <c r="G98" s="29">
        <v>134.22999999999999</v>
      </c>
      <c r="H98" s="30" t="s">
        <v>70</v>
      </c>
      <c r="I98" s="30" t="s">
        <v>19</v>
      </c>
      <c r="J98" s="31">
        <v>44390</v>
      </c>
      <c r="K98" s="32" t="s">
        <v>204</v>
      </c>
      <c r="L98" s="13" t="s">
        <v>15</v>
      </c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spans="1:30">
      <c r="A99" s="6" t="e">
        <f t="shared" ca="1" si="0"/>
        <v>#NAME?</v>
      </c>
      <c r="B99" s="14">
        <v>235</v>
      </c>
      <c r="C99" s="15" t="s">
        <v>205</v>
      </c>
      <c r="D99" s="16">
        <v>6404</v>
      </c>
      <c r="E99" s="16">
        <v>6091</v>
      </c>
      <c r="F99" s="17">
        <f t="shared" si="1"/>
        <v>5.3487398584915399E-4</v>
      </c>
      <c r="G99" s="18">
        <v>451.69900000000001</v>
      </c>
      <c r="H99" s="19" t="s">
        <v>77</v>
      </c>
      <c r="I99" s="19" t="s">
        <v>51</v>
      </c>
      <c r="J99" s="20">
        <v>43988</v>
      </c>
      <c r="K99" s="21" t="s">
        <v>206</v>
      </c>
      <c r="L99" s="13" t="s">
        <v>21</v>
      </c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>
      <c r="A100" s="6" t="e">
        <f t="shared" ca="1" si="0"/>
        <v>#NAME?</v>
      </c>
      <c r="B100" s="7">
        <v>286</v>
      </c>
      <c r="C100" s="8" t="s">
        <v>207</v>
      </c>
      <c r="D100" s="9">
        <v>4454</v>
      </c>
      <c r="E100" s="9">
        <v>4676</v>
      </c>
      <c r="F100" s="10">
        <f t="shared" si="1"/>
        <v>4.1061742863743946E-4</v>
      </c>
      <c r="G100" s="11">
        <v>158.02500000000001</v>
      </c>
      <c r="H100" s="12" t="s">
        <v>144</v>
      </c>
      <c r="I100" s="12" t="s">
        <v>74</v>
      </c>
      <c r="L100" s="13" t="s">
        <v>15</v>
      </c>
    </row>
    <row r="101" spans="1:30">
      <c r="A101" s="6" t="e">
        <f t="shared" ca="1" si="0"/>
        <v>#NAME?</v>
      </c>
      <c r="B101" s="7">
        <v>432</v>
      </c>
      <c r="C101" s="12" t="s">
        <v>208</v>
      </c>
      <c r="D101" s="9">
        <v>2417</v>
      </c>
      <c r="E101" s="9">
        <v>2327</v>
      </c>
      <c r="F101" s="10">
        <f t="shared" si="1"/>
        <v>2.0434276228385837E-4</v>
      </c>
      <c r="G101" s="11">
        <v>324.90800000000002</v>
      </c>
      <c r="H101" s="12" t="s">
        <v>36</v>
      </c>
      <c r="I101" s="12" t="s">
        <v>19</v>
      </c>
      <c r="L101" s="13" t="s">
        <v>15</v>
      </c>
    </row>
    <row r="102" spans="1:30">
      <c r="A102" s="6" t="e">
        <f t="shared" ca="1" si="0"/>
        <v>#NAME?</v>
      </c>
      <c r="B102" s="7">
        <v>146</v>
      </c>
      <c r="C102" s="8" t="s">
        <v>209</v>
      </c>
      <c r="D102" s="9">
        <v>10280</v>
      </c>
      <c r="E102" s="9">
        <v>12239</v>
      </c>
      <c r="F102" s="10">
        <f t="shared" si="1"/>
        <v>1.0747533595153169E-3</v>
      </c>
      <c r="G102" s="11">
        <v>73.438000000000002</v>
      </c>
      <c r="H102" s="12" t="s">
        <v>65</v>
      </c>
      <c r="I102" s="12" t="s">
        <v>45</v>
      </c>
      <c r="L102" s="13" t="s">
        <v>15</v>
      </c>
    </row>
    <row r="103" spans="1:30">
      <c r="A103" s="6" t="e">
        <f t="shared" ca="1" si="0"/>
        <v>#NAME?</v>
      </c>
      <c r="B103" s="7">
        <v>130</v>
      </c>
      <c r="C103" s="8" t="s">
        <v>150</v>
      </c>
      <c r="D103" s="9">
        <v>13289</v>
      </c>
      <c r="E103" s="9">
        <v>14133</v>
      </c>
      <c r="F103" s="10">
        <f t="shared" si="1"/>
        <v>1.2410727371541771E-3</v>
      </c>
      <c r="G103" s="11">
        <v>176.643</v>
      </c>
      <c r="H103" s="12" t="s">
        <v>150</v>
      </c>
      <c r="I103" s="12" t="s">
        <v>19</v>
      </c>
      <c r="L103" s="13" t="s">
        <v>15</v>
      </c>
    </row>
    <row r="104" spans="1:30">
      <c r="A104" s="6" t="e">
        <f t="shared" ca="1" si="0"/>
        <v>#NAME?</v>
      </c>
      <c r="B104" s="7">
        <v>171</v>
      </c>
      <c r="C104" s="8" t="s">
        <v>210</v>
      </c>
      <c r="D104" s="9">
        <v>9377</v>
      </c>
      <c r="E104" s="9">
        <v>9269</v>
      </c>
      <c r="F104" s="10">
        <f t="shared" si="1"/>
        <v>8.1394631010274303E-4</v>
      </c>
      <c r="G104" s="11">
        <v>684.24699999999996</v>
      </c>
      <c r="H104" s="12" t="s">
        <v>36</v>
      </c>
      <c r="I104" s="12" t="s">
        <v>19</v>
      </c>
      <c r="L104" s="13" t="s">
        <v>15</v>
      </c>
    </row>
    <row r="105" spans="1:30">
      <c r="A105" s="6" t="e">
        <f t="shared" ca="1" si="0"/>
        <v>#NAME?</v>
      </c>
      <c r="B105" s="25">
        <v>54</v>
      </c>
      <c r="C105" s="26" t="s">
        <v>211</v>
      </c>
      <c r="D105" s="27">
        <v>35363</v>
      </c>
      <c r="E105" s="27">
        <v>40789</v>
      </c>
      <c r="F105" s="28">
        <f t="shared" si="1"/>
        <v>3.5818379590873651E-3</v>
      </c>
      <c r="G105" s="29">
        <v>217.36199999999999</v>
      </c>
      <c r="H105" s="30" t="s">
        <v>84</v>
      </c>
      <c r="I105" s="30" t="s">
        <v>45</v>
      </c>
      <c r="J105" s="31">
        <v>44388</v>
      </c>
      <c r="K105" s="32" t="s">
        <v>212</v>
      </c>
      <c r="L105" s="13" t="s">
        <v>15</v>
      </c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spans="1:30">
      <c r="A106" s="6" t="e">
        <f t="shared" ca="1" si="0"/>
        <v>#NAME?</v>
      </c>
      <c r="B106" s="25">
        <v>348</v>
      </c>
      <c r="C106" s="30" t="s">
        <v>213</v>
      </c>
      <c r="D106" s="27">
        <v>3471</v>
      </c>
      <c r="E106" s="27">
        <v>3306</v>
      </c>
      <c r="F106" s="28">
        <f t="shared" si="1"/>
        <v>2.9031249338652156E-4</v>
      </c>
      <c r="G106" s="29">
        <v>198.74799999999999</v>
      </c>
      <c r="H106" s="30" t="s">
        <v>18</v>
      </c>
      <c r="I106" s="30" t="s">
        <v>19</v>
      </c>
      <c r="J106" s="52">
        <v>44390</v>
      </c>
      <c r="K106" s="32" t="s">
        <v>214</v>
      </c>
      <c r="L106" s="13" t="s">
        <v>15</v>
      </c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spans="1:30">
      <c r="A107" s="6" t="e">
        <f t="shared" ca="1" si="0"/>
        <v>#NAME?</v>
      </c>
      <c r="B107" s="7">
        <v>320</v>
      </c>
      <c r="C107" s="8" t="s">
        <v>215</v>
      </c>
      <c r="D107" s="9">
        <v>4044</v>
      </c>
      <c r="E107" s="9">
        <v>3794</v>
      </c>
      <c r="F107" s="10">
        <f t="shared" si="1"/>
        <v>3.3316563820582663E-4</v>
      </c>
      <c r="G107" s="11">
        <v>397.17899999999997</v>
      </c>
      <c r="H107" s="12" t="s">
        <v>28</v>
      </c>
      <c r="I107" s="12" t="s">
        <v>19</v>
      </c>
      <c r="L107" s="13" t="s">
        <v>15</v>
      </c>
    </row>
    <row r="108" spans="1:30">
      <c r="A108" s="6" t="e">
        <f t="shared" ca="1" si="0"/>
        <v>#NAME?</v>
      </c>
      <c r="B108" s="7">
        <v>213</v>
      </c>
      <c r="C108" s="8" t="s">
        <v>216</v>
      </c>
      <c r="D108" s="9">
        <v>5919</v>
      </c>
      <c r="E108" s="9">
        <v>6704</v>
      </c>
      <c r="F108" s="10">
        <f t="shared" si="1"/>
        <v>5.8870385833733837E-4</v>
      </c>
      <c r="G108" s="11">
        <v>202.387</v>
      </c>
      <c r="H108" s="12" t="s">
        <v>217</v>
      </c>
      <c r="I108" s="12" t="s">
        <v>51</v>
      </c>
      <c r="L108" s="13" t="s">
        <v>15</v>
      </c>
    </row>
    <row r="109" spans="1:30">
      <c r="A109" s="6" t="e">
        <f t="shared" ca="1" si="0"/>
        <v>#NAME?</v>
      </c>
      <c r="B109" s="7">
        <v>256</v>
      </c>
      <c r="C109" s="8" t="s">
        <v>218</v>
      </c>
      <c r="D109" s="9">
        <v>4944</v>
      </c>
      <c r="E109" s="9">
        <v>5441</v>
      </c>
      <c r="F109" s="10">
        <f t="shared" si="1"/>
        <v>4.777950019709812E-4</v>
      </c>
      <c r="G109" s="11">
        <v>220.471</v>
      </c>
      <c r="H109" s="12" t="s">
        <v>65</v>
      </c>
      <c r="I109" s="81" t="s">
        <v>219</v>
      </c>
      <c r="L109" s="13" t="s">
        <v>15</v>
      </c>
    </row>
    <row r="110" spans="1:30">
      <c r="A110" s="6" t="e">
        <f t="shared" ca="1" si="0"/>
        <v>#NAME?</v>
      </c>
      <c r="B110" s="46">
        <v>120</v>
      </c>
      <c r="C110" s="51" t="s">
        <v>220</v>
      </c>
      <c r="D110" s="48">
        <v>12654</v>
      </c>
      <c r="E110" s="48">
        <v>16254</v>
      </c>
      <c r="F110" s="49">
        <f t="shared" si="1"/>
        <v>1.4273258522397223E-3</v>
      </c>
      <c r="G110" s="50">
        <v>243.42</v>
      </c>
      <c r="H110" s="51" t="s">
        <v>79</v>
      </c>
      <c r="I110" s="51" t="s">
        <v>45</v>
      </c>
      <c r="J110" s="52">
        <v>43999</v>
      </c>
      <c r="K110" s="24" t="s">
        <v>221</v>
      </c>
      <c r="L110" s="13" t="s">
        <v>15</v>
      </c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>
      <c r="A111" s="53" t="e">
        <f t="shared" ca="1" si="0"/>
        <v>#NAME?</v>
      </c>
      <c r="B111" s="14">
        <v>278</v>
      </c>
      <c r="C111" s="15" t="s">
        <v>222</v>
      </c>
      <c r="D111" s="16">
        <v>4922</v>
      </c>
      <c r="E111" s="16">
        <v>4775</v>
      </c>
      <c r="F111" s="17">
        <f t="shared" si="1"/>
        <v>4.1931099695119195E-4</v>
      </c>
      <c r="G111" s="18">
        <v>274.35000000000002</v>
      </c>
      <c r="H111" s="19" t="s">
        <v>18</v>
      </c>
      <c r="I111" s="19" t="s">
        <v>19</v>
      </c>
      <c r="J111" s="20">
        <v>44027</v>
      </c>
      <c r="K111" s="21" t="s">
        <v>223</v>
      </c>
      <c r="L111" s="13" t="s">
        <v>21</v>
      </c>
      <c r="M111" s="21"/>
      <c r="N111" s="21"/>
      <c r="O111" s="21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>
      <c r="A112" s="6" t="e">
        <f t="shared" ca="1" si="0"/>
        <v>#NAME?</v>
      </c>
      <c r="B112" s="25">
        <v>420</v>
      </c>
      <c r="C112" s="26" t="s">
        <v>224</v>
      </c>
      <c r="D112" s="27">
        <v>2420</v>
      </c>
      <c r="E112" s="27">
        <v>2442</v>
      </c>
      <c r="F112" s="28">
        <f t="shared" si="1"/>
        <v>2.1444135173922737E-4</v>
      </c>
      <c r="G112" s="29">
        <v>58.033999999999999</v>
      </c>
      <c r="H112" s="30" t="s">
        <v>73</v>
      </c>
      <c r="I112" s="30" t="s">
        <v>74</v>
      </c>
      <c r="J112" s="31">
        <v>44389</v>
      </c>
      <c r="K112" s="32" t="s">
        <v>225</v>
      </c>
      <c r="L112" s="13" t="s">
        <v>15</v>
      </c>
      <c r="M112" s="32"/>
      <c r="N112" s="32"/>
      <c r="O112" s="32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</row>
    <row r="113" spans="1:30">
      <c r="A113" s="6" t="e">
        <f t="shared" ca="1" si="0"/>
        <v>#NAME?</v>
      </c>
      <c r="B113" s="25">
        <v>352</v>
      </c>
      <c r="C113" s="26" t="s">
        <v>226</v>
      </c>
      <c r="D113" s="27">
        <v>3550</v>
      </c>
      <c r="E113" s="27">
        <v>3221</v>
      </c>
      <c r="F113" s="28">
        <f t="shared" si="1"/>
        <v>2.8284831857168361E-4</v>
      </c>
      <c r="G113" s="29">
        <v>286.29500000000002</v>
      </c>
      <c r="H113" s="30" t="s">
        <v>227</v>
      </c>
      <c r="I113" s="30" t="s">
        <v>19</v>
      </c>
      <c r="J113" s="31">
        <v>44169</v>
      </c>
      <c r="K113" s="24" t="s">
        <v>89</v>
      </c>
      <c r="L113" s="13" t="s">
        <v>15</v>
      </c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spans="1:30">
      <c r="A114" s="6" t="e">
        <f t="shared" ca="1" si="0"/>
        <v>#NAME?</v>
      </c>
      <c r="B114" s="7">
        <v>210</v>
      </c>
      <c r="C114" s="8" t="s">
        <v>228</v>
      </c>
      <c r="D114" s="9">
        <v>6552</v>
      </c>
      <c r="E114" s="9">
        <v>6753</v>
      </c>
      <c r="F114" s="10">
        <f t="shared" si="1"/>
        <v>5.9300673558353905E-4</v>
      </c>
      <c r="G114" s="11">
        <v>465.19200000000001</v>
      </c>
      <c r="H114" s="12" t="s">
        <v>28</v>
      </c>
      <c r="I114" s="12" t="s">
        <v>19</v>
      </c>
      <c r="L114" s="13" t="s">
        <v>15</v>
      </c>
    </row>
    <row r="115" spans="1:30">
      <c r="A115" s="6" t="e">
        <f t="shared" ca="1" si="0"/>
        <v>#NAME?</v>
      </c>
      <c r="B115" s="7">
        <v>169</v>
      </c>
      <c r="C115" s="8" t="s">
        <v>229</v>
      </c>
      <c r="D115" s="9">
        <v>9741</v>
      </c>
      <c r="E115" s="9">
        <v>9911</v>
      </c>
      <c r="F115" s="10">
        <f t="shared" si="1"/>
        <v>8.7032278341010749E-4</v>
      </c>
      <c r="G115" s="11">
        <v>203.614</v>
      </c>
      <c r="H115" s="12" t="s">
        <v>39</v>
      </c>
      <c r="I115" s="12" t="s">
        <v>19</v>
      </c>
      <c r="L115" s="13" t="s">
        <v>15</v>
      </c>
    </row>
    <row r="116" spans="1:30">
      <c r="A116" s="6" t="e">
        <f t="shared" ca="1" si="0"/>
        <v>#NAME?</v>
      </c>
      <c r="B116" s="14">
        <v>490</v>
      </c>
      <c r="C116" s="19" t="s">
        <v>230</v>
      </c>
      <c r="D116" s="16">
        <v>1528</v>
      </c>
      <c r="E116" s="16">
        <v>1507</v>
      </c>
      <c r="F116" s="17">
        <f t="shared" si="1"/>
        <v>1.3233542877600968E-4</v>
      </c>
      <c r="G116" s="18">
        <v>112.43899999999999</v>
      </c>
      <c r="H116" s="19" t="s">
        <v>73</v>
      </c>
      <c r="I116" s="19" t="s">
        <v>74</v>
      </c>
      <c r="J116" s="20">
        <v>44051</v>
      </c>
      <c r="K116" s="21" t="s">
        <v>231</v>
      </c>
      <c r="L116" s="13" t="s">
        <v>21</v>
      </c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>
      <c r="A117" s="6" t="e">
        <f t="shared" ca="1" si="0"/>
        <v>#NAME?</v>
      </c>
      <c r="B117" s="7">
        <v>433</v>
      </c>
      <c r="C117" s="8" t="s">
        <v>232</v>
      </c>
      <c r="D117" s="9">
        <v>2457</v>
      </c>
      <c r="E117" s="9">
        <v>2327</v>
      </c>
      <c r="F117" s="10">
        <f t="shared" si="1"/>
        <v>2.0434276228385837E-4</v>
      </c>
      <c r="G117" s="11">
        <v>277.637</v>
      </c>
      <c r="H117" s="12" t="s">
        <v>36</v>
      </c>
      <c r="I117" s="12" t="s">
        <v>19</v>
      </c>
      <c r="J117" s="70">
        <v>46180</v>
      </c>
      <c r="K117" s="34" t="s">
        <v>233</v>
      </c>
      <c r="L117" s="13" t="s">
        <v>15</v>
      </c>
    </row>
    <row r="118" spans="1:30">
      <c r="A118" s="6" t="e">
        <f t="shared" ca="1" si="0"/>
        <v>#NAME?</v>
      </c>
      <c r="B118" s="46">
        <v>416</v>
      </c>
      <c r="C118" s="51" t="s">
        <v>234</v>
      </c>
      <c r="D118" s="48">
        <v>2459</v>
      </c>
      <c r="E118" s="48">
        <v>2518</v>
      </c>
      <c r="F118" s="49">
        <f t="shared" si="1"/>
        <v>2.2111520216190603E-4</v>
      </c>
      <c r="G118" s="50">
        <v>163.684</v>
      </c>
      <c r="H118" s="51" t="s">
        <v>28</v>
      </c>
      <c r="I118" s="51" t="s">
        <v>19</v>
      </c>
      <c r="J118" s="52">
        <v>44171</v>
      </c>
      <c r="K118" s="24" t="s">
        <v>58</v>
      </c>
      <c r="L118" s="13" t="s">
        <v>15</v>
      </c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>
      <c r="A119" s="6" t="e">
        <f t="shared" ca="1" si="0"/>
        <v>#NAME?</v>
      </c>
      <c r="B119" s="7">
        <v>198</v>
      </c>
      <c r="C119" s="8" t="s">
        <v>235</v>
      </c>
      <c r="D119" s="9">
        <v>7748</v>
      </c>
      <c r="E119" s="9">
        <v>7325</v>
      </c>
      <c r="F119" s="10">
        <f t="shared" si="1"/>
        <v>6.4323624139633114E-4</v>
      </c>
      <c r="G119" s="11">
        <v>492.303</v>
      </c>
      <c r="H119" s="12" t="s">
        <v>28</v>
      </c>
      <c r="I119" s="12" t="s">
        <v>19</v>
      </c>
      <c r="L119" s="13" t="s">
        <v>15</v>
      </c>
    </row>
    <row r="120" spans="1:30">
      <c r="A120" s="6" t="e">
        <f t="shared" ca="1" si="0"/>
        <v>#NAME?</v>
      </c>
      <c r="B120" s="14">
        <v>485</v>
      </c>
      <c r="C120" s="15" t="s">
        <v>236</v>
      </c>
      <c r="D120" s="16">
        <v>1725</v>
      </c>
      <c r="E120" s="16">
        <v>1641</v>
      </c>
      <c r="F120" s="17">
        <f t="shared" si="1"/>
        <v>1.4410248083704838E-4</v>
      </c>
      <c r="G120" s="18">
        <v>105.447</v>
      </c>
      <c r="H120" s="19" t="s">
        <v>62</v>
      </c>
      <c r="I120" s="19" t="s">
        <v>57</v>
      </c>
      <c r="J120" s="20">
        <v>44024</v>
      </c>
      <c r="K120" s="21" t="s">
        <v>237</v>
      </c>
      <c r="L120" s="13" t="s">
        <v>21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>
      <c r="A121" s="6" t="e">
        <f t="shared" ca="1" si="0"/>
        <v>#NAME?</v>
      </c>
      <c r="B121" s="46">
        <v>317</v>
      </c>
      <c r="C121" s="47" t="s">
        <v>238</v>
      </c>
      <c r="D121" s="48">
        <v>3917</v>
      </c>
      <c r="E121" s="48">
        <v>3868</v>
      </c>
      <c r="F121" s="49">
        <f t="shared" si="1"/>
        <v>3.3966386098580325E-4</v>
      </c>
      <c r="G121" s="50">
        <v>173.20699999999999</v>
      </c>
      <c r="H121" s="51" t="s">
        <v>62</v>
      </c>
      <c r="I121" s="51" t="s">
        <v>57</v>
      </c>
      <c r="J121" s="52">
        <v>44025</v>
      </c>
      <c r="K121" s="24" t="s">
        <v>239</v>
      </c>
      <c r="L121" s="13" t="s">
        <v>15</v>
      </c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>
      <c r="A122" s="6" t="e">
        <f t="shared" ca="1" si="0"/>
        <v>#NAME?</v>
      </c>
      <c r="B122" s="25">
        <v>390</v>
      </c>
      <c r="C122" s="26" t="s">
        <v>240</v>
      </c>
      <c r="D122" s="27">
        <v>2826</v>
      </c>
      <c r="E122" s="27">
        <v>2769</v>
      </c>
      <c r="F122" s="28">
        <f t="shared" si="1"/>
        <v>2.4315647132101581E-4</v>
      </c>
      <c r="G122" s="29">
        <v>421.49299999999999</v>
      </c>
      <c r="H122" s="30" t="s">
        <v>18</v>
      </c>
      <c r="I122" s="30" t="s">
        <v>19</v>
      </c>
      <c r="J122" s="31">
        <v>44390</v>
      </c>
      <c r="K122" s="32" t="s">
        <v>241</v>
      </c>
      <c r="L122" s="13" t="s">
        <v>15</v>
      </c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spans="1:30">
      <c r="A123" s="6" t="e">
        <f t="shared" ca="1" si="0"/>
        <v>#NAME?</v>
      </c>
      <c r="B123" s="7">
        <v>137</v>
      </c>
      <c r="C123" s="8" t="s">
        <v>242</v>
      </c>
      <c r="D123" s="9">
        <v>14085</v>
      </c>
      <c r="E123" s="9">
        <v>13448</v>
      </c>
      <c r="F123" s="10">
        <f t="shared" si="1"/>
        <v>1.1809202695287182E-3</v>
      </c>
      <c r="G123" s="11">
        <v>363.59699999999998</v>
      </c>
      <c r="H123" s="12" t="s">
        <v>101</v>
      </c>
      <c r="I123" s="12" t="s">
        <v>19</v>
      </c>
      <c r="L123" s="13" t="s">
        <v>15</v>
      </c>
    </row>
    <row r="124" spans="1:30">
      <c r="A124" s="53" t="e">
        <f t="shared" ca="1" si="0"/>
        <v>#NAME?</v>
      </c>
      <c r="B124" s="14">
        <v>184</v>
      </c>
      <c r="C124" s="15" t="s">
        <v>243</v>
      </c>
      <c r="D124" s="16">
        <v>7280</v>
      </c>
      <c r="E124" s="16">
        <v>8009</v>
      </c>
      <c r="F124" s="17">
        <f t="shared" si="1"/>
        <v>7.0330089520043897E-4</v>
      </c>
      <c r="G124" s="18">
        <v>682.13800000000003</v>
      </c>
      <c r="H124" s="19" t="s">
        <v>77</v>
      </c>
      <c r="I124" s="19" t="s">
        <v>51</v>
      </c>
      <c r="J124" s="20">
        <v>43961</v>
      </c>
      <c r="K124" s="21" t="s">
        <v>244</v>
      </c>
      <c r="L124" s="13" t="s">
        <v>21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>
      <c r="A125" s="6" t="e">
        <f t="shared" ca="1" si="0"/>
        <v>#NAME?</v>
      </c>
      <c r="B125" s="7">
        <v>382</v>
      </c>
      <c r="C125" s="12" t="s">
        <v>245</v>
      </c>
      <c r="D125" s="9">
        <v>2826</v>
      </c>
      <c r="E125" s="9">
        <v>2851</v>
      </c>
      <c r="F125" s="10">
        <f t="shared" si="1"/>
        <v>2.5035720467180065E-4</v>
      </c>
      <c r="G125" s="11">
        <v>97.076999999999998</v>
      </c>
      <c r="H125" s="12" t="s">
        <v>39</v>
      </c>
      <c r="I125" s="12" t="s">
        <v>19</v>
      </c>
      <c r="J125" s="70">
        <v>46179</v>
      </c>
      <c r="K125" s="34" t="s">
        <v>246</v>
      </c>
      <c r="L125" s="13" t="s">
        <v>15</v>
      </c>
    </row>
    <row r="126" spans="1:30">
      <c r="A126" s="6" t="e">
        <f t="shared" ca="1" si="0"/>
        <v>#NAME?</v>
      </c>
      <c r="B126" s="7">
        <v>38</v>
      </c>
      <c r="C126" s="8" t="s">
        <v>42</v>
      </c>
      <c r="D126" s="9">
        <v>62615</v>
      </c>
      <c r="E126" s="9">
        <v>60299</v>
      </c>
      <c r="F126" s="10">
        <f t="shared" si="1"/>
        <v>5.2950856136460573E-3</v>
      </c>
      <c r="G126" s="11">
        <v>1358.818</v>
      </c>
      <c r="H126" s="12" t="s">
        <v>42</v>
      </c>
      <c r="I126" s="12" t="s">
        <v>19</v>
      </c>
      <c r="L126" s="13" t="s">
        <v>15</v>
      </c>
    </row>
    <row r="127" spans="1:30">
      <c r="A127" s="6" t="e">
        <f t="shared" ca="1" si="0"/>
        <v>#NAME?</v>
      </c>
      <c r="B127" s="7">
        <v>468</v>
      </c>
      <c r="C127" s="8" t="s">
        <v>247</v>
      </c>
      <c r="D127" s="9">
        <v>2141</v>
      </c>
      <c r="E127" s="9">
        <v>1870</v>
      </c>
      <c r="F127" s="10">
        <f t="shared" si="1"/>
        <v>1.6421184592643539E-4</v>
      </c>
      <c r="G127" s="11">
        <v>166.88300000000001</v>
      </c>
      <c r="H127" s="12" t="s">
        <v>70</v>
      </c>
      <c r="I127" s="12" t="s">
        <v>19</v>
      </c>
      <c r="J127" s="70">
        <v>46178</v>
      </c>
      <c r="K127" s="34" t="s">
        <v>248</v>
      </c>
      <c r="L127" s="13" t="s">
        <v>15</v>
      </c>
    </row>
    <row r="128" spans="1:30">
      <c r="A128" s="6" t="e">
        <f t="shared" ca="1" si="0"/>
        <v>#NAME?</v>
      </c>
      <c r="B128" s="25">
        <v>143</v>
      </c>
      <c r="C128" s="26" t="s">
        <v>249</v>
      </c>
      <c r="D128" s="27">
        <v>12331</v>
      </c>
      <c r="E128" s="27">
        <v>12348</v>
      </c>
      <c r="F128" s="28">
        <f t="shared" si="1"/>
        <v>1.0843250660425797E-3</v>
      </c>
      <c r="G128" s="29">
        <v>154.964</v>
      </c>
      <c r="H128" s="30" t="s">
        <v>73</v>
      </c>
      <c r="I128" s="30" t="s">
        <v>74</v>
      </c>
      <c r="J128" s="31">
        <v>44388</v>
      </c>
      <c r="K128" s="32" t="s">
        <v>250</v>
      </c>
      <c r="L128" s="13" t="s">
        <v>15</v>
      </c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spans="1:30">
      <c r="A129" s="6" t="e">
        <f t="shared" ca="1" si="0"/>
        <v>#NAME?</v>
      </c>
      <c r="B129" s="46">
        <v>282</v>
      </c>
      <c r="C129" s="51" t="s">
        <v>251</v>
      </c>
      <c r="D129" s="48">
        <v>4683</v>
      </c>
      <c r="E129" s="48">
        <v>4744</v>
      </c>
      <c r="F129" s="49">
        <f t="shared" si="1"/>
        <v>4.1658876848930986E-4</v>
      </c>
      <c r="G129" s="50">
        <v>174.73400000000001</v>
      </c>
      <c r="H129" s="51" t="s">
        <v>18</v>
      </c>
      <c r="I129" s="51" t="s">
        <v>19</v>
      </c>
      <c r="J129" s="52">
        <v>44027</v>
      </c>
      <c r="K129" s="24" t="s">
        <v>244</v>
      </c>
      <c r="L129" s="13" t="s">
        <v>15</v>
      </c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>
      <c r="A130" s="6" t="e">
        <f t="shared" ca="1" si="0"/>
        <v>#NAME?</v>
      </c>
      <c r="B130" s="7">
        <v>381</v>
      </c>
      <c r="C130" s="8" t="s">
        <v>252</v>
      </c>
      <c r="D130" s="9">
        <v>3190</v>
      </c>
      <c r="E130" s="9">
        <v>2852</v>
      </c>
      <c r="F130" s="10">
        <f t="shared" si="1"/>
        <v>2.5044501849315169E-4</v>
      </c>
      <c r="G130" s="11">
        <v>360.851</v>
      </c>
      <c r="H130" s="12" t="s">
        <v>101</v>
      </c>
      <c r="I130" s="12" t="s">
        <v>19</v>
      </c>
      <c r="L130" s="13" t="s">
        <v>15</v>
      </c>
    </row>
    <row r="131" spans="1:30">
      <c r="A131" s="6" t="e">
        <f t="shared" ca="1" si="0"/>
        <v>#NAME?</v>
      </c>
      <c r="B131" s="7">
        <v>417</v>
      </c>
      <c r="C131" s="8" t="s">
        <v>253</v>
      </c>
      <c r="D131" s="9">
        <v>2866</v>
      </c>
      <c r="E131" s="9">
        <v>2478</v>
      </c>
      <c r="F131" s="10">
        <f t="shared" si="1"/>
        <v>2.1760264930786464E-4</v>
      </c>
      <c r="G131" s="11">
        <v>217.363</v>
      </c>
      <c r="H131" s="12" t="s">
        <v>134</v>
      </c>
      <c r="I131" s="12" t="s">
        <v>19</v>
      </c>
      <c r="L131" s="13" t="s">
        <v>15</v>
      </c>
    </row>
    <row r="132" spans="1:30">
      <c r="A132" s="79" t="e">
        <f t="shared" ca="1" si="0"/>
        <v>#NAME?</v>
      </c>
      <c r="B132" s="25">
        <v>363</v>
      </c>
      <c r="C132" s="26" t="s">
        <v>254</v>
      </c>
      <c r="D132" s="27">
        <v>3064</v>
      </c>
      <c r="E132" s="27">
        <v>3026</v>
      </c>
      <c r="F132" s="28">
        <f t="shared" si="1"/>
        <v>2.6572462340823178E-4</v>
      </c>
      <c r="G132" s="29">
        <v>601.16999999999996</v>
      </c>
      <c r="H132" s="30" t="s">
        <v>143</v>
      </c>
      <c r="I132" s="30" t="s">
        <v>25</v>
      </c>
      <c r="J132" s="31">
        <v>45705</v>
      </c>
      <c r="K132" s="32" t="s">
        <v>761</v>
      </c>
      <c r="L132" s="80" t="s">
        <v>15</v>
      </c>
      <c r="M132" s="32"/>
      <c r="N132" s="32"/>
      <c r="O132" s="32"/>
    </row>
    <row r="133" spans="1:30">
      <c r="A133" s="6" t="e">
        <f t="shared" ca="1" si="0"/>
        <v>#NAME?</v>
      </c>
      <c r="B133" s="46">
        <v>69</v>
      </c>
      <c r="C133" s="47" t="s">
        <v>255</v>
      </c>
      <c r="D133" s="48">
        <v>27572</v>
      </c>
      <c r="E133" s="48">
        <v>32671</v>
      </c>
      <c r="F133" s="49">
        <f t="shared" si="1"/>
        <v>2.8689653573596634E-3</v>
      </c>
      <c r="G133" s="50">
        <v>226.072</v>
      </c>
      <c r="H133" s="51" t="s">
        <v>170</v>
      </c>
      <c r="I133" s="51" t="s">
        <v>45</v>
      </c>
      <c r="J133" s="52">
        <v>43908</v>
      </c>
      <c r="K133" s="24" t="s">
        <v>256</v>
      </c>
      <c r="L133" s="13" t="s">
        <v>15</v>
      </c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>
      <c r="A134" s="6" t="e">
        <f t="shared" ca="1" si="0"/>
        <v>#NAME?</v>
      </c>
      <c r="B134" s="7">
        <v>452</v>
      </c>
      <c r="C134" s="12" t="s">
        <v>257</v>
      </c>
      <c r="D134" s="9">
        <v>2157</v>
      </c>
      <c r="E134" s="9">
        <v>2044</v>
      </c>
      <c r="F134" s="10">
        <f t="shared" si="1"/>
        <v>1.7949145084151545E-4</v>
      </c>
      <c r="G134" s="11">
        <v>65.152000000000001</v>
      </c>
      <c r="H134" s="12" t="s">
        <v>39</v>
      </c>
      <c r="I134" s="12" t="s">
        <v>19</v>
      </c>
      <c r="L134" s="13" t="s">
        <v>15</v>
      </c>
    </row>
    <row r="135" spans="1:30">
      <c r="A135" s="53" t="e">
        <f t="shared" ca="1" si="0"/>
        <v>#NAME?</v>
      </c>
      <c r="B135" s="14">
        <v>341</v>
      </c>
      <c r="C135" s="15" t="s">
        <v>258</v>
      </c>
      <c r="D135" s="16">
        <v>3280</v>
      </c>
      <c r="E135" s="16">
        <v>3394</v>
      </c>
      <c r="F135" s="17">
        <f t="shared" si="1"/>
        <v>2.9804010966541267E-4</v>
      </c>
      <c r="G135" s="18">
        <v>133.535</v>
      </c>
      <c r="H135" s="19" t="s">
        <v>56</v>
      </c>
      <c r="I135" s="19" t="s">
        <v>57</v>
      </c>
      <c r="J135" s="20">
        <v>43984</v>
      </c>
      <c r="K135" s="21" t="s">
        <v>259</v>
      </c>
      <c r="L135" s="13" t="s">
        <v>21</v>
      </c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>
      <c r="A136" s="6" t="e">
        <f t="shared" ca="1" si="0"/>
        <v>#NAME?</v>
      </c>
      <c r="B136" s="7">
        <v>126</v>
      </c>
      <c r="C136" s="8" t="s">
        <v>260</v>
      </c>
      <c r="D136" s="9">
        <v>14380</v>
      </c>
      <c r="E136" s="9">
        <v>15414</v>
      </c>
      <c r="F136" s="10">
        <f t="shared" si="1"/>
        <v>1.3535622423048528E-3</v>
      </c>
      <c r="G136" s="11">
        <v>1355.1949999999999</v>
      </c>
      <c r="H136" s="12" t="s">
        <v>65</v>
      </c>
      <c r="I136" s="12" t="s">
        <v>45</v>
      </c>
      <c r="L136" s="13" t="s">
        <v>15</v>
      </c>
    </row>
    <row r="137" spans="1:30">
      <c r="A137" s="6" t="e">
        <f t="shared" ca="1" si="0"/>
        <v>#NAME?</v>
      </c>
      <c r="B137" s="7">
        <v>57</v>
      </c>
      <c r="C137" s="8" t="s">
        <v>261</v>
      </c>
      <c r="D137" s="9">
        <v>38916</v>
      </c>
      <c r="E137" s="9">
        <v>38461</v>
      </c>
      <c r="F137" s="10">
        <f t="shared" si="1"/>
        <v>3.3774073829821558E-3</v>
      </c>
      <c r="G137" s="11">
        <v>5194.0510000000004</v>
      </c>
      <c r="H137" s="12" t="s">
        <v>13</v>
      </c>
      <c r="I137" s="12" t="s">
        <v>14</v>
      </c>
      <c r="L137" s="13" t="s">
        <v>15</v>
      </c>
    </row>
    <row r="138" spans="1:30">
      <c r="A138" s="6" t="e">
        <f t="shared" ca="1" si="0"/>
        <v>#NAME?</v>
      </c>
      <c r="B138" s="46">
        <v>413</v>
      </c>
      <c r="C138" s="47" t="s">
        <v>262</v>
      </c>
      <c r="D138" s="48">
        <v>2550</v>
      </c>
      <c r="E138" s="48">
        <v>2541</v>
      </c>
      <c r="F138" s="49">
        <f t="shared" si="1"/>
        <v>2.2313492005297984E-4</v>
      </c>
      <c r="G138" s="50">
        <v>78.218999999999994</v>
      </c>
      <c r="H138" s="51" t="s">
        <v>79</v>
      </c>
      <c r="I138" s="51" t="s">
        <v>45</v>
      </c>
      <c r="J138" s="52">
        <v>43998</v>
      </c>
      <c r="K138" s="24" t="s">
        <v>263</v>
      </c>
      <c r="L138" s="13" t="s">
        <v>15</v>
      </c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>
      <c r="A139" s="6" t="e">
        <f t="shared" ca="1" si="0"/>
        <v>#NAME?</v>
      </c>
      <c r="B139" s="25">
        <v>359</v>
      </c>
      <c r="C139" s="26" t="s">
        <v>264</v>
      </c>
      <c r="D139" s="27">
        <v>3401</v>
      </c>
      <c r="E139" s="27">
        <v>3086</v>
      </c>
      <c r="F139" s="28">
        <f t="shared" si="1"/>
        <v>2.709934526892939E-4</v>
      </c>
      <c r="G139" s="29">
        <v>114.149</v>
      </c>
      <c r="H139" s="30" t="s">
        <v>24</v>
      </c>
      <c r="I139" s="30" t="s">
        <v>25</v>
      </c>
      <c r="J139" s="31">
        <v>45532</v>
      </c>
      <c r="K139" s="32" t="s">
        <v>160</v>
      </c>
      <c r="L139" s="80" t="s">
        <v>15</v>
      </c>
    </row>
    <row r="140" spans="1:30">
      <c r="A140" s="6" t="e">
        <f t="shared" ca="1" si="0"/>
        <v>#NAME?</v>
      </c>
      <c r="B140" s="7">
        <v>289</v>
      </c>
      <c r="C140" s="8" t="s">
        <v>265</v>
      </c>
      <c r="D140" s="9">
        <v>5313</v>
      </c>
      <c r="E140" s="9">
        <v>4639</v>
      </c>
      <c r="F140" s="10">
        <f t="shared" si="1"/>
        <v>4.073683172474512E-4</v>
      </c>
      <c r="G140" s="11">
        <v>255.733</v>
      </c>
      <c r="H140" s="12" t="s">
        <v>101</v>
      </c>
      <c r="I140" s="12" t="s">
        <v>19</v>
      </c>
      <c r="L140" s="13" t="s">
        <v>15</v>
      </c>
    </row>
    <row r="141" spans="1:30">
      <c r="A141" s="53" t="e">
        <f t="shared" ca="1" si="0"/>
        <v>#NAME?</v>
      </c>
      <c r="B141" s="14">
        <v>459</v>
      </c>
      <c r="C141" s="15" t="s">
        <v>266</v>
      </c>
      <c r="D141" s="16">
        <v>2030</v>
      </c>
      <c r="E141" s="16">
        <v>1994</v>
      </c>
      <c r="F141" s="17">
        <f t="shared" si="1"/>
        <v>1.7510075977396371E-4</v>
      </c>
      <c r="G141" s="18">
        <v>107.976</v>
      </c>
      <c r="H141" s="19" t="s">
        <v>267</v>
      </c>
      <c r="I141" s="19" t="s">
        <v>74</v>
      </c>
      <c r="J141" s="20">
        <v>44026</v>
      </c>
      <c r="K141" s="21" t="s">
        <v>268</v>
      </c>
      <c r="L141" s="13" t="s">
        <v>21</v>
      </c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>
      <c r="A142" s="6" t="e">
        <f t="shared" ca="1" si="0"/>
        <v>#NAME?</v>
      </c>
      <c r="B142" s="46">
        <v>53</v>
      </c>
      <c r="C142" s="47" t="s">
        <v>269</v>
      </c>
      <c r="D142" s="48">
        <v>34335</v>
      </c>
      <c r="E142" s="48">
        <v>41285</v>
      </c>
      <c r="F142" s="49">
        <f t="shared" si="1"/>
        <v>3.6253936144774782E-3</v>
      </c>
      <c r="G142" s="50">
        <v>509.61399999999998</v>
      </c>
      <c r="H142" s="51" t="s">
        <v>48</v>
      </c>
      <c r="I142" s="51" t="s">
        <v>45</v>
      </c>
      <c r="J142" s="52">
        <v>43987</v>
      </c>
      <c r="K142" s="24" t="s">
        <v>270</v>
      </c>
      <c r="L142" s="13" t="s">
        <v>15</v>
      </c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>
      <c r="A143" s="6" t="e">
        <f t="shared" ca="1" si="0"/>
        <v>#NAME?</v>
      </c>
      <c r="B143" s="46">
        <v>99</v>
      </c>
      <c r="C143" s="47" t="s">
        <v>271</v>
      </c>
      <c r="D143" s="48">
        <v>20514</v>
      </c>
      <c r="E143" s="48">
        <v>22706</v>
      </c>
      <c r="F143" s="49">
        <f t="shared" si="1"/>
        <v>1.9939006275966E-3</v>
      </c>
      <c r="G143" s="50">
        <v>140.006</v>
      </c>
      <c r="H143" s="51" t="s">
        <v>73</v>
      </c>
      <c r="I143" s="51" t="s">
        <v>74</v>
      </c>
      <c r="J143" s="52">
        <v>44025</v>
      </c>
      <c r="K143" s="24" t="s">
        <v>272</v>
      </c>
      <c r="L143" s="13" t="s">
        <v>15</v>
      </c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>
      <c r="A144" s="6" t="e">
        <f t="shared" ca="1" si="0"/>
        <v>#NAME?</v>
      </c>
      <c r="B144" s="7">
        <v>86</v>
      </c>
      <c r="C144" s="8" t="s">
        <v>273</v>
      </c>
      <c r="D144" s="9">
        <v>24537</v>
      </c>
      <c r="E144" s="9">
        <v>25877</v>
      </c>
      <c r="F144" s="10">
        <f t="shared" si="1"/>
        <v>2.2723582551007317E-3</v>
      </c>
      <c r="G144" s="11">
        <v>3348.4470000000001</v>
      </c>
      <c r="H144" s="12" t="s">
        <v>50</v>
      </c>
      <c r="I144" s="12" t="s">
        <v>51</v>
      </c>
      <c r="L144" s="13" t="s">
        <v>15</v>
      </c>
    </row>
    <row r="145" spans="1:30">
      <c r="A145" s="6" t="e">
        <f t="shared" ca="1" si="0"/>
        <v>#NAME?</v>
      </c>
      <c r="B145" s="7">
        <v>497</v>
      </c>
      <c r="C145" s="8" t="s">
        <v>274</v>
      </c>
      <c r="D145" s="9">
        <v>1530</v>
      </c>
      <c r="E145" s="9">
        <v>1034</v>
      </c>
      <c r="F145" s="10">
        <f t="shared" si="1"/>
        <v>9.079949127697015E-5</v>
      </c>
      <c r="G145" s="11">
        <v>71.191000000000003</v>
      </c>
      <c r="H145" s="12" t="s">
        <v>39</v>
      </c>
      <c r="I145" s="12" t="s">
        <v>19</v>
      </c>
      <c r="L145" s="13" t="s">
        <v>15</v>
      </c>
    </row>
    <row r="146" spans="1:30">
      <c r="A146" s="6" t="e">
        <f t="shared" ca="1" si="0"/>
        <v>#NAME?</v>
      </c>
      <c r="B146" s="7">
        <v>385</v>
      </c>
      <c r="C146" s="8" t="s">
        <v>275</v>
      </c>
      <c r="D146" s="9">
        <v>3080</v>
      </c>
      <c r="E146" s="9">
        <v>2829</v>
      </c>
      <c r="F146" s="10">
        <f t="shared" si="1"/>
        <v>2.4842530060207788E-4</v>
      </c>
      <c r="G146" s="11">
        <v>119.91200000000001</v>
      </c>
      <c r="H146" s="12" t="s">
        <v>70</v>
      </c>
      <c r="I146" s="12" t="s">
        <v>19</v>
      </c>
      <c r="J146" s="70">
        <v>46178</v>
      </c>
      <c r="K146" s="34" t="s">
        <v>276</v>
      </c>
      <c r="L146" s="13" t="s">
        <v>15</v>
      </c>
    </row>
    <row r="147" spans="1:30">
      <c r="A147" s="6"/>
      <c r="B147" s="7"/>
      <c r="C147" s="7"/>
      <c r="D147" s="9"/>
      <c r="E147" s="9"/>
      <c r="F147" s="10"/>
      <c r="G147" s="11"/>
      <c r="H147" s="81"/>
      <c r="I147" s="81"/>
      <c r="L147" s="13"/>
    </row>
    <row r="148" spans="1:30">
      <c r="A148" s="6"/>
      <c r="B148" s="7"/>
      <c r="C148" s="7"/>
      <c r="D148" s="9"/>
      <c r="E148" s="9"/>
      <c r="F148" s="10"/>
      <c r="G148" s="11"/>
      <c r="H148" s="81"/>
      <c r="I148" s="81"/>
      <c r="L148" s="13"/>
    </row>
    <row r="149" spans="1:30">
      <c r="A149" s="6"/>
      <c r="B149" s="7"/>
      <c r="C149" s="7"/>
      <c r="D149" s="9"/>
      <c r="E149" s="9"/>
      <c r="F149" s="10"/>
      <c r="G149" s="11"/>
      <c r="H149" s="81"/>
      <c r="I149" s="81"/>
      <c r="L149" s="13"/>
    </row>
    <row r="150" spans="1:30">
      <c r="A150" s="6"/>
      <c r="B150" s="7"/>
      <c r="C150" s="7"/>
      <c r="D150" s="9"/>
      <c r="E150" s="9"/>
      <c r="F150" s="10"/>
      <c r="G150" s="11"/>
      <c r="H150" s="81"/>
      <c r="I150" s="81"/>
      <c r="L150" s="13"/>
    </row>
    <row r="151" spans="1:30">
      <c r="A151" s="6" t="e">
        <f t="shared" ref="A151:A158" ca="1" si="2">_xludf.CONCAT(C151," (RS)")</f>
        <v>#NAME?</v>
      </c>
      <c r="B151" s="25">
        <v>178</v>
      </c>
      <c r="C151" s="26" t="s">
        <v>277</v>
      </c>
      <c r="D151" s="27">
        <v>8938</v>
      </c>
      <c r="E151" s="27">
        <v>8475</v>
      </c>
      <c r="F151" s="28">
        <f t="shared" ref="F151:F158" si="3">E151/$E$504</f>
        <v>7.4422213595002132E-4</v>
      </c>
      <c r="G151" s="29">
        <v>552.98599999999999</v>
      </c>
      <c r="H151" s="30" t="s">
        <v>134</v>
      </c>
      <c r="I151" s="30" t="s">
        <v>19</v>
      </c>
      <c r="J151" s="31">
        <v>44171</v>
      </c>
      <c r="K151" s="32" t="s">
        <v>278</v>
      </c>
      <c r="L151" s="13" t="s">
        <v>15</v>
      </c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spans="1:30">
      <c r="A152" s="6" t="e">
        <f t="shared" ca="1" si="2"/>
        <v>#NAME?</v>
      </c>
      <c r="B152" s="7">
        <v>368</v>
      </c>
      <c r="C152" s="8" t="s">
        <v>279</v>
      </c>
      <c r="D152" s="9">
        <v>2970</v>
      </c>
      <c r="E152" s="9">
        <v>2995</v>
      </c>
      <c r="F152" s="10">
        <f t="shared" si="3"/>
        <v>2.6300239494634969E-4</v>
      </c>
      <c r="G152" s="11">
        <v>152.506</v>
      </c>
      <c r="H152" s="12" t="s">
        <v>70</v>
      </c>
      <c r="I152" s="12" t="s">
        <v>19</v>
      </c>
      <c r="J152" s="70">
        <v>46178</v>
      </c>
      <c r="K152" s="34" t="s">
        <v>280</v>
      </c>
      <c r="L152" s="13" t="s">
        <v>15</v>
      </c>
    </row>
    <row r="153" spans="1:30">
      <c r="A153" s="6" t="e">
        <f t="shared" ca="1" si="2"/>
        <v>#NAME?</v>
      </c>
      <c r="B153" s="25">
        <v>19</v>
      </c>
      <c r="C153" s="26" t="s">
        <v>70</v>
      </c>
      <c r="D153" s="27">
        <v>96087</v>
      </c>
      <c r="E153" s="27">
        <v>105862</v>
      </c>
      <c r="F153" s="28">
        <f t="shared" si="3"/>
        <v>9.2961467558632625E-3</v>
      </c>
      <c r="G153" s="29">
        <v>429.20400000000001</v>
      </c>
      <c r="H153" s="30" t="s">
        <v>70</v>
      </c>
      <c r="I153" s="30" t="s">
        <v>19</v>
      </c>
      <c r="J153" s="31">
        <v>44389</v>
      </c>
      <c r="K153" s="32" t="s">
        <v>231</v>
      </c>
      <c r="L153" s="13" t="s">
        <v>15</v>
      </c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spans="1:30">
      <c r="A154" s="6" t="e">
        <f t="shared" ca="1" si="2"/>
        <v>#NAME?</v>
      </c>
      <c r="B154" s="25">
        <v>356</v>
      </c>
      <c r="C154" s="26" t="s">
        <v>281</v>
      </c>
      <c r="D154" s="27">
        <v>3088</v>
      </c>
      <c r="E154" s="27">
        <v>3167</v>
      </c>
      <c r="F154" s="28">
        <f t="shared" si="3"/>
        <v>2.7810637221872771E-4</v>
      </c>
      <c r="G154" s="29">
        <v>238.55799999999999</v>
      </c>
      <c r="H154" s="30" t="s">
        <v>18</v>
      </c>
      <c r="I154" s="30" t="s">
        <v>19</v>
      </c>
      <c r="J154" s="31">
        <v>44389</v>
      </c>
      <c r="K154" s="32" t="s">
        <v>231</v>
      </c>
      <c r="L154" s="13" t="s">
        <v>15</v>
      </c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spans="1:30">
      <c r="A155" s="6" t="e">
        <f t="shared" ca="1" si="2"/>
        <v>#NAME?</v>
      </c>
      <c r="B155" s="7">
        <v>268</v>
      </c>
      <c r="C155" s="8" t="s">
        <v>282</v>
      </c>
      <c r="D155" s="9">
        <v>5167</v>
      </c>
      <c r="E155" s="9">
        <v>4902</v>
      </c>
      <c r="F155" s="10">
        <f t="shared" si="3"/>
        <v>4.3046335226277338E-4</v>
      </c>
      <c r="G155" s="11">
        <v>285.67700000000002</v>
      </c>
      <c r="H155" s="12" t="s">
        <v>70</v>
      </c>
      <c r="I155" s="12" t="s">
        <v>19</v>
      </c>
      <c r="J155" s="70">
        <v>46178</v>
      </c>
      <c r="K155" s="34" t="s">
        <v>283</v>
      </c>
      <c r="L155" s="13" t="s">
        <v>15</v>
      </c>
    </row>
    <row r="156" spans="1:30">
      <c r="A156" s="6" t="e">
        <f t="shared" ca="1" si="2"/>
        <v>#NAME?</v>
      </c>
      <c r="B156" s="7">
        <v>206</v>
      </c>
      <c r="C156" s="8" t="s">
        <v>284</v>
      </c>
      <c r="D156" s="9">
        <v>7878</v>
      </c>
      <c r="E156" s="9">
        <v>6912</v>
      </c>
      <c r="F156" s="10">
        <f t="shared" si="3"/>
        <v>6.0696913317835361E-4</v>
      </c>
      <c r="G156" s="11">
        <v>357.18099999999998</v>
      </c>
      <c r="H156" s="12" t="s">
        <v>39</v>
      </c>
      <c r="I156" s="12" t="s">
        <v>19</v>
      </c>
      <c r="L156" s="13" t="s">
        <v>15</v>
      </c>
    </row>
    <row r="157" spans="1:30">
      <c r="A157" s="6" t="e">
        <f t="shared" ca="1" si="2"/>
        <v>#NAME?</v>
      </c>
      <c r="B157" s="46">
        <v>349</v>
      </c>
      <c r="C157" s="51" t="s">
        <v>285</v>
      </c>
      <c r="D157" s="48">
        <v>3169</v>
      </c>
      <c r="E157" s="48">
        <v>3277</v>
      </c>
      <c r="F157" s="49">
        <f t="shared" si="3"/>
        <v>2.8776589256734159E-4</v>
      </c>
      <c r="G157" s="50">
        <v>829.58699999999999</v>
      </c>
      <c r="H157" s="51" t="s">
        <v>125</v>
      </c>
      <c r="I157" s="51" t="s">
        <v>57</v>
      </c>
      <c r="J157" s="52">
        <v>44016</v>
      </c>
      <c r="K157" s="24" t="s">
        <v>139</v>
      </c>
      <c r="L157" s="13" t="s">
        <v>15</v>
      </c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>
      <c r="A158" s="6" t="e">
        <f t="shared" ca="1" si="2"/>
        <v>#NAME?</v>
      </c>
      <c r="B158" s="7">
        <v>371</v>
      </c>
      <c r="C158" s="8" t="s">
        <v>286</v>
      </c>
      <c r="D158" s="9">
        <v>3272</v>
      </c>
      <c r="E158" s="9">
        <v>2969</v>
      </c>
      <c r="F158" s="10">
        <f t="shared" si="3"/>
        <v>2.6071923559122282E-4</v>
      </c>
      <c r="G158" s="11">
        <v>148.90899999999999</v>
      </c>
      <c r="H158" s="12" t="s">
        <v>101</v>
      </c>
      <c r="I158" s="12" t="s">
        <v>19</v>
      </c>
      <c r="L158" s="13" t="s">
        <v>15</v>
      </c>
    </row>
    <row r="159" spans="1:30">
      <c r="A159" s="6"/>
      <c r="B159" s="7"/>
      <c r="C159" s="7"/>
      <c r="D159" s="9"/>
      <c r="E159" s="9"/>
      <c r="F159" s="10"/>
      <c r="G159" s="11"/>
      <c r="H159" s="81"/>
      <c r="I159" s="81"/>
      <c r="L159" s="13"/>
    </row>
    <row r="160" spans="1:30">
      <c r="A160" s="6" t="e">
        <f t="shared" ref="A160:A414" ca="1" si="4">_xludf.CONCAT(C160," (RS)")</f>
        <v>#NAME?</v>
      </c>
      <c r="B160" s="25">
        <v>125</v>
      </c>
      <c r="C160" s="26" t="s">
        <v>287</v>
      </c>
      <c r="D160" s="27">
        <v>15240</v>
      </c>
      <c r="E160" s="27">
        <v>15588</v>
      </c>
      <c r="F160" s="28">
        <f t="shared" ref="F160:F414" si="5">E160/$E$504</f>
        <v>1.3688418472199329E-3</v>
      </c>
      <c r="G160" s="29">
        <v>783.64200000000005</v>
      </c>
      <c r="H160" s="30" t="s">
        <v>42</v>
      </c>
      <c r="I160" s="30" t="s">
        <v>19</v>
      </c>
      <c r="J160" s="31">
        <v>44389</v>
      </c>
      <c r="K160" s="32" t="s">
        <v>288</v>
      </c>
      <c r="L160" s="13" t="s">
        <v>15</v>
      </c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spans="1:30">
      <c r="A161" s="6" t="e">
        <f t="shared" ca="1" si="4"/>
        <v>#NAME?</v>
      </c>
      <c r="B161" s="25">
        <v>238</v>
      </c>
      <c r="C161" s="26" t="s">
        <v>289</v>
      </c>
      <c r="D161" s="27">
        <v>6011</v>
      </c>
      <c r="E161" s="27">
        <v>5958</v>
      </c>
      <c r="F161" s="28">
        <f t="shared" si="5"/>
        <v>5.2319474760946624E-4</v>
      </c>
      <c r="G161" s="29">
        <v>99.757000000000005</v>
      </c>
      <c r="H161" s="30" t="s">
        <v>70</v>
      </c>
      <c r="I161" s="30" t="s">
        <v>19</v>
      </c>
      <c r="J161" s="31">
        <v>44389</v>
      </c>
      <c r="K161" s="32" t="s">
        <v>290</v>
      </c>
      <c r="L161" s="13" t="s">
        <v>15</v>
      </c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spans="1:30">
      <c r="A162" s="61" t="e">
        <f t="shared" ca="1" si="4"/>
        <v>#NAME?</v>
      </c>
      <c r="B162" s="62">
        <v>45</v>
      </c>
      <c r="C162" s="63" t="s">
        <v>291</v>
      </c>
      <c r="D162" s="64">
        <v>42589</v>
      </c>
      <c r="E162" s="64">
        <v>50022</v>
      </c>
      <c r="F162" s="65">
        <f t="shared" si="5"/>
        <v>4.3926229716214705E-3</v>
      </c>
      <c r="G162" s="66">
        <v>52.076000000000001</v>
      </c>
      <c r="H162" s="67" t="s">
        <v>48</v>
      </c>
      <c r="I162" s="67" t="s">
        <v>45</v>
      </c>
      <c r="J162" s="68">
        <v>43977</v>
      </c>
      <c r="K162" s="69" t="s">
        <v>63</v>
      </c>
      <c r="L162" s="13" t="s">
        <v>21</v>
      </c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 spans="1:30">
      <c r="A163" s="6" t="e">
        <f t="shared" ca="1" si="4"/>
        <v>#NAME?</v>
      </c>
      <c r="B163" s="14">
        <v>23</v>
      </c>
      <c r="C163" s="15" t="s">
        <v>292</v>
      </c>
      <c r="D163" s="16">
        <v>80669</v>
      </c>
      <c r="E163" s="16">
        <v>83202</v>
      </c>
      <c r="F163" s="17">
        <f t="shared" si="5"/>
        <v>7.3062855640488112E-3</v>
      </c>
      <c r="G163" s="18">
        <v>27.675999999999998</v>
      </c>
      <c r="H163" s="19" t="s">
        <v>48</v>
      </c>
      <c r="I163" s="19" t="s">
        <v>45</v>
      </c>
      <c r="J163" s="20">
        <v>43978</v>
      </c>
      <c r="K163" s="21" t="s">
        <v>293</v>
      </c>
      <c r="L163" s="13" t="s">
        <v>21</v>
      </c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>
      <c r="A164" s="6" t="e">
        <f t="shared" ca="1" si="4"/>
        <v>#NAME?</v>
      </c>
      <c r="B164" s="25">
        <v>64</v>
      </c>
      <c r="C164" s="26" t="s">
        <v>294</v>
      </c>
      <c r="D164" s="27">
        <v>30628</v>
      </c>
      <c r="E164" s="27">
        <v>34116</v>
      </c>
      <c r="F164" s="28">
        <f t="shared" si="5"/>
        <v>2.9958563292119089E-3</v>
      </c>
      <c r="G164" s="29">
        <v>184.267</v>
      </c>
      <c r="H164" s="30" t="s">
        <v>73</v>
      </c>
      <c r="I164" s="30" t="s">
        <v>74</v>
      </c>
      <c r="J164" s="31">
        <v>44388</v>
      </c>
      <c r="K164" s="32" t="s">
        <v>295</v>
      </c>
      <c r="L164" s="13" t="s">
        <v>15</v>
      </c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spans="1:30">
      <c r="A165" s="6" t="e">
        <f t="shared" ca="1" si="4"/>
        <v>#NAME?</v>
      </c>
      <c r="B165" s="7">
        <v>327</v>
      </c>
      <c r="C165" s="12" t="s">
        <v>296</v>
      </c>
      <c r="D165" s="9">
        <v>3628</v>
      </c>
      <c r="E165" s="9">
        <v>3660</v>
      </c>
      <c r="F165" s="10">
        <f t="shared" si="5"/>
        <v>3.2139858614478795E-4</v>
      </c>
      <c r="G165" s="11">
        <v>281.613</v>
      </c>
      <c r="H165" s="12" t="s">
        <v>82</v>
      </c>
      <c r="I165" s="12" t="s">
        <v>74</v>
      </c>
      <c r="L165" s="13" t="s">
        <v>15</v>
      </c>
    </row>
    <row r="166" spans="1:30">
      <c r="A166" s="6" t="e">
        <f t="shared" ca="1" si="4"/>
        <v>#NAME?</v>
      </c>
      <c r="B166" s="7">
        <v>419</v>
      </c>
      <c r="C166" s="8" t="s">
        <v>297</v>
      </c>
      <c r="D166" s="9">
        <v>2797</v>
      </c>
      <c r="E166" s="9">
        <v>2458</v>
      </c>
      <c r="F166" s="10">
        <f t="shared" si="5"/>
        <v>2.1584637288084394E-4</v>
      </c>
      <c r="G166" s="11">
        <v>418.06900000000002</v>
      </c>
      <c r="H166" s="12" t="s">
        <v>134</v>
      </c>
      <c r="I166" s="12" t="s">
        <v>19</v>
      </c>
      <c r="L166" s="13" t="s">
        <v>15</v>
      </c>
    </row>
    <row r="167" spans="1:30">
      <c r="A167" s="6" t="e">
        <f t="shared" ca="1" si="4"/>
        <v>#NAME?</v>
      </c>
      <c r="B167" s="46">
        <v>398</v>
      </c>
      <c r="C167" s="47" t="s">
        <v>298</v>
      </c>
      <c r="D167" s="48">
        <v>2579</v>
      </c>
      <c r="E167" s="48">
        <v>2721</v>
      </c>
      <c r="F167" s="49">
        <f t="shared" si="5"/>
        <v>2.3894140789616612E-4</v>
      </c>
      <c r="G167" s="50">
        <v>134.29499999999999</v>
      </c>
      <c r="H167" s="51" t="s">
        <v>62</v>
      </c>
      <c r="I167" s="51" t="s">
        <v>57</v>
      </c>
      <c r="J167" s="52">
        <v>43985</v>
      </c>
      <c r="K167" s="24" t="s">
        <v>20</v>
      </c>
      <c r="L167" s="13" t="s">
        <v>15</v>
      </c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>
      <c r="A168" s="6" t="e">
        <f t="shared" ca="1" si="4"/>
        <v>#NAME?</v>
      </c>
      <c r="B168" s="46">
        <v>30</v>
      </c>
      <c r="C168" s="47" t="s">
        <v>299</v>
      </c>
      <c r="D168" s="48">
        <v>63635</v>
      </c>
      <c r="E168" s="48">
        <v>72331</v>
      </c>
      <c r="F168" s="49">
        <f t="shared" si="5"/>
        <v>6.3516615121417099E-3</v>
      </c>
      <c r="G168" s="50">
        <v>361.483</v>
      </c>
      <c r="H168" s="51" t="s">
        <v>62</v>
      </c>
      <c r="I168" s="51" t="s">
        <v>57</v>
      </c>
      <c r="J168" s="52">
        <v>43986</v>
      </c>
      <c r="K168" s="24" t="s">
        <v>300</v>
      </c>
      <c r="L168" s="13" t="s">
        <v>15</v>
      </c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>
      <c r="A169" s="6" t="e">
        <f t="shared" ca="1" si="4"/>
        <v>#NAME?</v>
      </c>
      <c r="B169" s="25">
        <v>214</v>
      </c>
      <c r="C169" s="30" t="s">
        <v>301</v>
      </c>
      <c r="D169" s="27">
        <v>6672</v>
      </c>
      <c r="E169" s="27">
        <v>6677</v>
      </c>
      <c r="F169" s="28">
        <f t="shared" si="5"/>
        <v>5.8633288516086047E-4</v>
      </c>
      <c r="G169" s="29">
        <v>169.51400000000001</v>
      </c>
      <c r="H169" s="30" t="s">
        <v>24</v>
      </c>
      <c r="I169" s="30" t="s">
        <v>25</v>
      </c>
      <c r="J169" s="31">
        <v>45532</v>
      </c>
      <c r="K169" s="32" t="s">
        <v>115</v>
      </c>
      <c r="L169" s="13" t="s">
        <v>15</v>
      </c>
    </row>
    <row r="170" spans="1:30">
      <c r="A170" s="6" t="e">
        <f t="shared" ca="1" si="4"/>
        <v>#NAME?</v>
      </c>
      <c r="B170" s="7">
        <v>429</v>
      </c>
      <c r="C170" s="8" t="s">
        <v>302</v>
      </c>
      <c r="D170" s="9">
        <v>2567</v>
      </c>
      <c r="E170" s="9">
        <v>2346</v>
      </c>
      <c r="F170" s="10">
        <f t="shared" si="5"/>
        <v>2.0601122488952801E-4</v>
      </c>
      <c r="G170" s="11">
        <v>143.321</v>
      </c>
      <c r="H170" s="12" t="s">
        <v>70</v>
      </c>
      <c r="I170" s="12" t="s">
        <v>19</v>
      </c>
      <c r="J170" s="70">
        <v>46178</v>
      </c>
      <c r="K170" s="34" t="s">
        <v>303</v>
      </c>
      <c r="L170" s="13" t="s">
        <v>15</v>
      </c>
    </row>
    <row r="171" spans="1:30">
      <c r="A171" s="6" t="e">
        <f t="shared" ca="1" si="4"/>
        <v>#NAME?</v>
      </c>
      <c r="B171" s="25">
        <v>297</v>
      </c>
      <c r="C171" s="26" t="s">
        <v>304</v>
      </c>
      <c r="D171" s="27">
        <v>3697</v>
      </c>
      <c r="E171" s="27">
        <v>4455</v>
      </c>
      <c r="F171" s="28">
        <f t="shared" si="5"/>
        <v>3.9121057411886076E-4</v>
      </c>
      <c r="G171" s="29">
        <v>84.793999999999997</v>
      </c>
      <c r="H171" s="30" t="s">
        <v>73</v>
      </c>
      <c r="I171" s="30" t="s">
        <v>74</v>
      </c>
      <c r="J171" s="31">
        <v>44388</v>
      </c>
      <c r="K171" s="32" t="s">
        <v>305</v>
      </c>
      <c r="L171" s="13" t="s">
        <v>15</v>
      </c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spans="1:30">
      <c r="A172" s="6" t="e">
        <f t="shared" ca="1" si="4"/>
        <v>#NAME?</v>
      </c>
      <c r="B172" s="46">
        <v>134</v>
      </c>
      <c r="C172" s="47" t="s">
        <v>306</v>
      </c>
      <c r="D172" s="48">
        <v>12359</v>
      </c>
      <c r="E172" s="48">
        <v>13547</v>
      </c>
      <c r="F172" s="49">
        <f t="shared" si="5"/>
        <v>1.1896138378424707E-3</v>
      </c>
      <c r="G172" s="50">
        <v>94.831999999999994</v>
      </c>
      <c r="H172" s="51" t="s">
        <v>44</v>
      </c>
      <c r="I172" s="51" t="s">
        <v>45</v>
      </c>
      <c r="J172" s="52">
        <v>43980</v>
      </c>
      <c r="K172" s="24" t="s">
        <v>80</v>
      </c>
      <c r="L172" s="13" t="s">
        <v>15</v>
      </c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>
      <c r="A173" s="6" t="e">
        <f t="shared" ca="1" si="4"/>
        <v>#NAME?</v>
      </c>
      <c r="B173" s="46">
        <v>73</v>
      </c>
      <c r="C173" s="47" t="s">
        <v>307</v>
      </c>
      <c r="D173" s="48">
        <v>27135</v>
      </c>
      <c r="E173" s="48">
        <v>30745</v>
      </c>
      <c r="F173" s="49">
        <f t="shared" si="5"/>
        <v>2.6998359374375697E-3</v>
      </c>
      <c r="G173" s="50">
        <v>273.637</v>
      </c>
      <c r="H173" s="51" t="s">
        <v>62</v>
      </c>
      <c r="I173" s="51" t="s">
        <v>57</v>
      </c>
      <c r="J173" s="52">
        <v>43986</v>
      </c>
      <c r="K173" s="24" t="s">
        <v>80</v>
      </c>
      <c r="L173" s="13" t="s">
        <v>15</v>
      </c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>
      <c r="A174" s="6" t="e">
        <f t="shared" ca="1" si="4"/>
        <v>#NAME?</v>
      </c>
      <c r="B174" s="25">
        <v>472</v>
      </c>
      <c r="C174" s="30" t="s">
        <v>308</v>
      </c>
      <c r="D174" s="27">
        <v>2018</v>
      </c>
      <c r="E174" s="27">
        <v>1796</v>
      </c>
      <c r="F174" s="28">
        <f t="shared" si="5"/>
        <v>1.5771362314645878E-4</v>
      </c>
      <c r="G174" s="29">
        <v>168.52099999999999</v>
      </c>
      <c r="H174" s="30" t="s">
        <v>70</v>
      </c>
      <c r="I174" s="30" t="s">
        <v>19</v>
      </c>
      <c r="J174" s="31">
        <v>44389</v>
      </c>
      <c r="K174" s="32" t="s">
        <v>309</v>
      </c>
      <c r="L174" s="13" t="s">
        <v>15</v>
      </c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spans="1:30">
      <c r="A175" s="6" t="e">
        <f t="shared" ca="1" si="4"/>
        <v>#NAME?</v>
      </c>
      <c r="B175" s="46">
        <v>162</v>
      </c>
      <c r="C175" s="47" t="s">
        <v>310</v>
      </c>
      <c r="D175" s="48">
        <v>10712</v>
      </c>
      <c r="E175" s="48">
        <v>10304</v>
      </c>
      <c r="F175" s="49">
        <f t="shared" si="5"/>
        <v>9.0483361520106421E-4</v>
      </c>
      <c r="G175" s="50">
        <v>583.46500000000003</v>
      </c>
      <c r="H175" s="51" t="s">
        <v>112</v>
      </c>
      <c r="I175" s="51" t="s">
        <v>19</v>
      </c>
      <c r="J175" s="52">
        <v>44027</v>
      </c>
      <c r="K175" s="24" t="s">
        <v>223</v>
      </c>
      <c r="L175" s="13" t="s">
        <v>15</v>
      </c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>
      <c r="A176" s="6" t="e">
        <f t="shared" ca="1" si="4"/>
        <v>#NAME?</v>
      </c>
      <c r="B176" s="7">
        <v>215</v>
      </c>
      <c r="C176" s="8" t="s">
        <v>311</v>
      </c>
      <c r="D176" s="9">
        <v>6664</v>
      </c>
      <c r="E176" s="9">
        <v>6715</v>
      </c>
      <c r="F176" s="10">
        <f t="shared" si="5"/>
        <v>5.8966981037219981E-4</v>
      </c>
      <c r="G176" s="11">
        <v>578.875</v>
      </c>
      <c r="H176" s="12" t="s">
        <v>24</v>
      </c>
      <c r="I176" s="12" t="s">
        <v>25</v>
      </c>
      <c r="L176" s="13" t="s">
        <v>15</v>
      </c>
    </row>
    <row r="177" spans="1:30">
      <c r="A177" s="6" t="e">
        <f t="shared" ca="1" si="4"/>
        <v>#NAME?</v>
      </c>
      <c r="B177" s="25">
        <v>422</v>
      </c>
      <c r="C177" s="26" t="s">
        <v>312</v>
      </c>
      <c r="D177" s="27">
        <v>2473</v>
      </c>
      <c r="E177" s="27">
        <v>2424</v>
      </c>
      <c r="F177" s="28">
        <f t="shared" si="5"/>
        <v>2.1286070295490874E-4</v>
      </c>
      <c r="G177" s="29">
        <v>93.48</v>
      </c>
      <c r="H177" s="30" t="s">
        <v>73</v>
      </c>
      <c r="I177" s="30" t="s">
        <v>74</v>
      </c>
      <c r="J177" s="31">
        <v>44389</v>
      </c>
      <c r="K177" s="32" t="s">
        <v>313</v>
      </c>
      <c r="L177" s="13" t="s">
        <v>15</v>
      </c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spans="1:30">
      <c r="A178" s="6" t="e">
        <f t="shared" ca="1" si="4"/>
        <v>#NAME?</v>
      </c>
      <c r="B178" s="7">
        <v>301</v>
      </c>
      <c r="C178" s="8" t="s">
        <v>314</v>
      </c>
      <c r="D178" s="9">
        <v>4577</v>
      </c>
      <c r="E178" s="9">
        <v>4356</v>
      </c>
      <c r="F178" s="10">
        <f t="shared" si="5"/>
        <v>3.8251700580510826E-4</v>
      </c>
      <c r="G178" s="11">
        <v>650.51199999999994</v>
      </c>
      <c r="H178" s="12" t="s">
        <v>42</v>
      </c>
      <c r="I178" s="12" t="s">
        <v>19</v>
      </c>
      <c r="L178" s="13" t="s">
        <v>15</v>
      </c>
    </row>
    <row r="179" spans="1:30">
      <c r="A179" s="6" t="e">
        <f t="shared" ca="1" si="4"/>
        <v>#NAME?</v>
      </c>
      <c r="B179" s="7">
        <v>71</v>
      </c>
      <c r="C179" s="8" t="s">
        <v>39</v>
      </c>
      <c r="D179" s="9">
        <v>28848</v>
      </c>
      <c r="E179" s="9">
        <v>31313</v>
      </c>
      <c r="F179" s="10">
        <f t="shared" si="5"/>
        <v>2.7497141879649577E-3</v>
      </c>
      <c r="G179" s="11">
        <v>265.18099999999998</v>
      </c>
      <c r="H179" s="12" t="s">
        <v>39</v>
      </c>
      <c r="I179" s="12" t="s">
        <v>19</v>
      </c>
      <c r="J179" s="70">
        <v>46179</v>
      </c>
      <c r="K179" t="s">
        <v>248</v>
      </c>
      <c r="L179" s="13" t="s">
        <v>15</v>
      </c>
    </row>
    <row r="180" spans="1:30">
      <c r="A180" s="6" t="e">
        <f t="shared" ca="1" si="4"/>
        <v>#NAME?</v>
      </c>
      <c r="B180" s="46">
        <v>63</v>
      </c>
      <c r="C180" s="47" t="s">
        <v>315</v>
      </c>
      <c r="D180" s="48">
        <v>30692</v>
      </c>
      <c r="E180" s="48">
        <v>35070</v>
      </c>
      <c r="F180" s="49">
        <f t="shared" si="5"/>
        <v>3.0796307147807961E-3</v>
      </c>
      <c r="G180" s="50">
        <v>167.559</v>
      </c>
      <c r="H180" s="51" t="s">
        <v>62</v>
      </c>
      <c r="I180" s="51" t="s">
        <v>57</v>
      </c>
      <c r="J180" s="52">
        <v>43984</v>
      </c>
      <c r="K180" s="24" t="s">
        <v>316</v>
      </c>
      <c r="L180" s="13" t="s">
        <v>15</v>
      </c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>
      <c r="A181" s="6" t="e">
        <f t="shared" ca="1" si="4"/>
        <v>#NAME?</v>
      </c>
      <c r="B181" s="7">
        <v>373</v>
      </c>
      <c r="C181" s="12" t="s">
        <v>317</v>
      </c>
      <c r="D181" s="9">
        <v>3233</v>
      </c>
      <c r="E181" s="9">
        <v>2963</v>
      </c>
      <c r="F181" s="10">
        <f t="shared" si="5"/>
        <v>2.6019235266311661E-4</v>
      </c>
      <c r="G181" s="11">
        <v>803.73699999999997</v>
      </c>
      <c r="H181" s="12" t="s">
        <v>33</v>
      </c>
      <c r="I181" s="12" t="s">
        <v>14</v>
      </c>
      <c r="L181" s="13" t="s">
        <v>15</v>
      </c>
    </row>
    <row r="182" spans="1:30">
      <c r="A182" s="6" t="e">
        <f t="shared" ca="1" si="4"/>
        <v>#NAME?</v>
      </c>
      <c r="B182" s="25">
        <v>250</v>
      </c>
      <c r="C182" s="26" t="s">
        <v>318</v>
      </c>
      <c r="D182" s="27">
        <v>5862</v>
      </c>
      <c r="E182" s="27">
        <v>5534</v>
      </c>
      <c r="F182" s="28">
        <f t="shared" si="5"/>
        <v>4.8596168735662749E-4</v>
      </c>
      <c r="G182" s="29">
        <v>204.428</v>
      </c>
      <c r="H182" s="30" t="s">
        <v>70</v>
      </c>
      <c r="I182" s="30" t="s">
        <v>19</v>
      </c>
      <c r="J182" s="31">
        <v>44390</v>
      </c>
      <c r="K182" s="32" t="s">
        <v>319</v>
      </c>
      <c r="L182" s="13" t="s">
        <v>15</v>
      </c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spans="1:30">
      <c r="A183" s="53" t="e">
        <f t="shared" ca="1" si="4"/>
        <v>#NAME?</v>
      </c>
      <c r="B183" s="71">
        <v>179</v>
      </c>
      <c r="C183" s="72" t="s">
        <v>320</v>
      </c>
      <c r="D183" s="73">
        <v>8452</v>
      </c>
      <c r="E183" s="73">
        <v>8385</v>
      </c>
      <c r="F183" s="74">
        <f t="shared" si="5"/>
        <v>7.3631889202842814E-4</v>
      </c>
      <c r="G183" s="75">
        <v>510.01</v>
      </c>
      <c r="H183" s="76" t="s">
        <v>84</v>
      </c>
      <c r="I183" s="76" t="s">
        <v>45</v>
      </c>
      <c r="J183" s="77">
        <v>44388</v>
      </c>
      <c r="K183" s="78" t="s">
        <v>321</v>
      </c>
      <c r="L183" s="13" t="s">
        <v>21</v>
      </c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</row>
    <row r="184" spans="1:30">
      <c r="A184" s="6" t="e">
        <f t="shared" ca="1" si="4"/>
        <v>#NAME?</v>
      </c>
      <c r="B184" s="46">
        <v>484</v>
      </c>
      <c r="C184" s="51" t="s">
        <v>322</v>
      </c>
      <c r="D184" s="48">
        <v>1677</v>
      </c>
      <c r="E184" s="48">
        <v>1642</v>
      </c>
      <c r="F184" s="49">
        <f t="shared" si="5"/>
        <v>1.4419029465839939E-4</v>
      </c>
      <c r="G184" s="50">
        <v>184.715</v>
      </c>
      <c r="H184" s="51" t="s">
        <v>18</v>
      </c>
      <c r="I184" s="51" t="s">
        <v>19</v>
      </c>
      <c r="J184" s="52">
        <v>44027</v>
      </c>
      <c r="K184" s="24" t="s">
        <v>20</v>
      </c>
      <c r="L184" s="13" t="s">
        <v>15</v>
      </c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>
      <c r="A185" s="6" t="e">
        <f t="shared" ca="1" si="4"/>
        <v>#NAME?</v>
      </c>
      <c r="B185" s="25">
        <v>121</v>
      </c>
      <c r="C185" s="30" t="s">
        <v>323</v>
      </c>
      <c r="D185" s="27">
        <v>16156</v>
      </c>
      <c r="E185" s="27">
        <v>16212</v>
      </c>
      <c r="F185" s="28">
        <f t="shared" si="5"/>
        <v>1.4236376717429787E-3</v>
      </c>
      <c r="G185" s="29">
        <v>287.46600000000001</v>
      </c>
      <c r="H185" s="30" t="s">
        <v>70</v>
      </c>
      <c r="I185" s="30" t="s">
        <v>19</v>
      </c>
      <c r="J185" s="31">
        <v>44389</v>
      </c>
      <c r="K185" s="32" t="s">
        <v>324</v>
      </c>
      <c r="L185" s="13" t="s">
        <v>15</v>
      </c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spans="1:30">
      <c r="A186" s="6" t="e">
        <f t="shared" ca="1" si="4"/>
        <v>#NAME?</v>
      </c>
      <c r="B186" s="7">
        <v>123</v>
      </c>
      <c r="C186" s="12" t="s">
        <v>325</v>
      </c>
      <c r="D186" s="9">
        <v>17085</v>
      </c>
      <c r="E186" s="9">
        <v>16004</v>
      </c>
      <c r="F186" s="10">
        <f t="shared" si="5"/>
        <v>1.4053723969019636E-3</v>
      </c>
      <c r="G186" s="11">
        <v>857.05899999999997</v>
      </c>
      <c r="H186" s="12" t="s">
        <v>134</v>
      </c>
      <c r="I186" s="12" t="s">
        <v>19</v>
      </c>
      <c r="L186" s="13" t="s">
        <v>15</v>
      </c>
    </row>
    <row r="187" spans="1:30">
      <c r="A187" s="6" t="e">
        <f t="shared" ca="1" si="4"/>
        <v>#NAME?</v>
      </c>
      <c r="B187" s="46">
        <v>181</v>
      </c>
      <c r="C187" s="47" t="s">
        <v>326</v>
      </c>
      <c r="D187" s="48">
        <v>6885</v>
      </c>
      <c r="E187" s="48">
        <v>8098</v>
      </c>
      <c r="F187" s="49">
        <f t="shared" si="5"/>
        <v>7.1111632530068106E-4</v>
      </c>
      <c r="G187" s="50">
        <v>323.78800000000001</v>
      </c>
      <c r="H187" s="51" t="s">
        <v>48</v>
      </c>
      <c r="I187" s="51" t="s">
        <v>45</v>
      </c>
      <c r="J187" s="52">
        <v>43997</v>
      </c>
      <c r="K187" s="24" t="s">
        <v>327</v>
      </c>
      <c r="L187" s="13" t="s">
        <v>15</v>
      </c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>
      <c r="A188" s="6" t="e">
        <f t="shared" ca="1" si="4"/>
        <v>#NAME?</v>
      </c>
      <c r="B188" s="46">
        <v>62</v>
      </c>
      <c r="C188" s="47" t="s">
        <v>328</v>
      </c>
      <c r="D188" s="48">
        <v>32300</v>
      </c>
      <c r="E188" s="48">
        <v>36232</v>
      </c>
      <c r="F188" s="49">
        <f t="shared" si="5"/>
        <v>3.1816703751906985E-3</v>
      </c>
      <c r="G188" s="50">
        <v>217.51499999999999</v>
      </c>
      <c r="H188" s="51" t="s">
        <v>170</v>
      </c>
      <c r="I188" s="51" t="s">
        <v>45</v>
      </c>
      <c r="J188" s="52">
        <v>43889</v>
      </c>
      <c r="K188" s="24" t="s">
        <v>329</v>
      </c>
      <c r="L188" s="13" t="s">
        <v>15</v>
      </c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>
      <c r="A189" s="6" t="e">
        <f t="shared" ca="1" si="4"/>
        <v>#NAME?</v>
      </c>
      <c r="B189" s="7">
        <v>443</v>
      </c>
      <c r="C189" s="12" t="s">
        <v>330</v>
      </c>
      <c r="D189" s="9">
        <v>2269</v>
      </c>
      <c r="E189" s="9">
        <v>2106</v>
      </c>
      <c r="F189" s="10">
        <f t="shared" si="5"/>
        <v>1.8493590776527962E-4</v>
      </c>
      <c r="G189" s="11">
        <v>239.33799999999999</v>
      </c>
      <c r="H189" s="12" t="s">
        <v>39</v>
      </c>
      <c r="I189" s="12" t="s">
        <v>19</v>
      </c>
      <c r="J189" s="70">
        <v>46180</v>
      </c>
      <c r="K189" s="34" t="s">
        <v>37</v>
      </c>
      <c r="L189" s="13" t="s">
        <v>15</v>
      </c>
    </row>
    <row r="190" spans="1:30">
      <c r="A190" s="6" t="e">
        <f t="shared" ca="1" si="4"/>
        <v>#NAME?</v>
      </c>
      <c r="B190" s="7">
        <v>303</v>
      </c>
      <c r="C190" s="8" t="s">
        <v>331</v>
      </c>
      <c r="D190" s="9">
        <v>3970</v>
      </c>
      <c r="E190" s="9">
        <v>4297</v>
      </c>
      <c r="F190" s="10">
        <f t="shared" si="5"/>
        <v>3.7733599034539723E-4</v>
      </c>
      <c r="G190" s="11">
        <v>131.39599999999999</v>
      </c>
      <c r="H190" s="12" t="s">
        <v>82</v>
      </c>
      <c r="I190" s="12" t="s">
        <v>74</v>
      </c>
      <c r="L190" s="13" t="s">
        <v>15</v>
      </c>
    </row>
    <row r="191" spans="1:30">
      <c r="A191" s="61" t="e">
        <f t="shared" ca="1" si="4"/>
        <v>#NAME?</v>
      </c>
      <c r="B191" s="62">
        <v>6</v>
      </c>
      <c r="C191" s="63" t="s">
        <v>332</v>
      </c>
      <c r="D191" s="64">
        <v>255660</v>
      </c>
      <c r="E191" s="64">
        <v>281519</v>
      </c>
      <c r="F191" s="65">
        <f t="shared" si="5"/>
        <v>2.4721259172922012E-2</v>
      </c>
      <c r="G191" s="66">
        <v>462.65600000000001</v>
      </c>
      <c r="H191" s="67" t="s">
        <v>48</v>
      </c>
      <c r="I191" s="67" t="s">
        <v>45</v>
      </c>
      <c r="J191" s="68">
        <v>43997</v>
      </c>
      <c r="K191" s="69" t="s">
        <v>333</v>
      </c>
      <c r="L191" s="13" t="s">
        <v>21</v>
      </c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 spans="1:30">
      <c r="A192" s="6" t="e">
        <f t="shared" ca="1" si="4"/>
        <v>#NAME?</v>
      </c>
      <c r="B192" s="46">
        <v>489</v>
      </c>
      <c r="C192" s="51" t="s">
        <v>334</v>
      </c>
      <c r="D192" s="48">
        <v>1598</v>
      </c>
      <c r="E192" s="48">
        <v>1516</v>
      </c>
      <c r="F192" s="49">
        <f t="shared" si="5"/>
        <v>1.33125753168169E-4</v>
      </c>
      <c r="G192" s="50">
        <v>146.92500000000001</v>
      </c>
      <c r="H192" s="51" t="s">
        <v>56</v>
      </c>
      <c r="I192" s="51" t="s">
        <v>57</v>
      </c>
      <c r="J192" s="52">
        <v>44016</v>
      </c>
      <c r="K192" s="24" t="s">
        <v>272</v>
      </c>
      <c r="L192" s="13" t="s">
        <v>15</v>
      </c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>
      <c r="A193" s="6" t="e">
        <f t="shared" ca="1" si="4"/>
        <v>#NAME?</v>
      </c>
      <c r="B193" s="46">
        <v>20</v>
      </c>
      <c r="C193" s="47" t="s">
        <v>335</v>
      </c>
      <c r="D193" s="48">
        <v>94230</v>
      </c>
      <c r="E193" s="48">
        <v>98143</v>
      </c>
      <c r="F193" s="49">
        <f t="shared" si="5"/>
        <v>8.6183118688546237E-3</v>
      </c>
      <c r="G193" s="50">
        <v>376.166</v>
      </c>
      <c r="H193" s="51" t="s">
        <v>48</v>
      </c>
      <c r="I193" s="51" t="s">
        <v>45</v>
      </c>
      <c r="J193" s="52">
        <v>43987</v>
      </c>
      <c r="K193" s="24" t="s">
        <v>336</v>
      </c>
      <c r="L193" s="13" t="s">
        <v>15</v>
      </c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>
      <c r="A194" s="6" t="e">
        <f t="shared" ca="1" si="4"/>
        <v>#NAME?</v>
      </c>
      <c r="B194" s="46">
        <v>87</v>
      </c>
      <c r="C194" s="47" t="s">
        <v>56</v>
      </c>
      <c r="D194" s="48">
        <v>22810</v>
      </c>
      <c r="E194" s="48">
        <v>25727</v>
      </c>
      <c r="F194" s="49">
        <f t="shared" si="5"/>
        <v>2.2591861818980763E-3</v>
      </c>
      <c r="G194" s="50">
        <v>297.54500000000002</v>
      </c>
      <c r="H194" s="51" t="s">
        <v>56</v>
      </c>
      <c r="I194" s="51" t="s">
        <v>57</v>
      </c>
      <c r="J194" s="52">
        <v>43984</v>
      </c>
      <c r="K194" s="24" t="s">
        <v>20</v>
      </c>
      <c r="L194" s="13" t="s">
        <v>15</v>
      </c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>
      <c r="A195" s="6" t="e">
        <f t="shared" ca="1" si="4"/>
        <v>#NAME?</v>
      </c>
      <c r="B195" s="7">
        <v>193</v>
      </c>
      <c r="C195" s="8" t="s">
        <v>337</v>
      </c>
      <c r="D195" s="9">
        <v>8115</v>
      </c>
      <c r="E195" s="9">
        <v>7537</v>
      </c>
      <c r="F195" s="10">
        <f t="shared" si="5"/>
        <v>6.6185277152275052E-4</v>
      </c>
      <c r="G195" s="11">
        <v>290.7</v>
      </c>
      <c r="H195" s="12" t="s">
        <v>150</v>
      </c>
      <c r="I195" s="12" t="s">
        <v>19</v>
      </c>
      <c r="L195" s="13" t="s">
        <v>15</v>
      </c>
    </row>
    <row r="196" spans="1:30">
      <c r="A196" s="6" t="e">
        <f t="shared" ca="1" si="4"/>
        <v>#NAME?</v>
      </c>
      <c r="B196" s="46">
        <v>275</v>
      </c>
      <c r="C196" s="47" t="s">
        <v>338</v>
      </c>
      <c r="D196" s="48">
        <v>4254</v>
      </c>
      <c r="E196" s="48">
        <v>4812</v>
      </c>
      <c r="F196" s="49">
        <f t="shared" si="5"/>
        <v>4.225601083411802E-4</v>
      </c>
      <c r="G196" s="50">
        <v>48.561999999999998</v>
      </c>
      <c r="H196" s="51" t="s">
        <v>44</v>
      </c>
      <c r="I196" s="51" t="s">
        <v>45</v>
      </c>
      <c r="J196" s="52">
        <v>43984</v>
      </c>
      <c r="K196" s="24" t="s">
        <v>339</v>
      </c>
      <c r="L196" s="13" t="s">
        <v>15</v>
      </c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>
      <c r="A197" s="6" t="e">
        <f t="shared" ca="1" si="4"/>
        <v>#NAME?</v>
      </c>
      <c r="B197" s="7">
        <v>208</v>
      </c>
      <c r="C197" s="8" t="s">
        <v>340</v>
      </c>
      <c r="D197" s="9">
        <v>6757</v>
      </c>
      <c r="E197" s="9">
        <v>6821</v>
      </c>
      <c r="F197" s="10">
        <f t="shared" si="5"/>
        <v>5.9897807543540945E-4</v>
      </c>
      <c r="G197" s="11">
        <v>1759.7170000000001</v>
      </c>
      <c r="H197" s="12" t="s">
        <v>86</v>
      </c>
      <c r="I197" s="12" t="s">
        <v>51</v>
      </c>
      <c r="L197" s="13" t="s">
        <v>15</v>
      </c>
    </row>
    <row r="198" spans="1:30">
      <c r="A198" s="6" t="e">
        <f t="shared" ca="1" si="4"/>
        <v>#NAME?</v>
      </c>
      <c r="B198" s="7">
        <v>365</v>
      </c>
      <c r="C198" s="8" t="s">
        <v>341</v>
      </c>
      <c r="D198" s="9">
        <v>2954</v>
      </c>
      <c r="E198" s="9">
        <v>3018</v>
      </c>
      <c r="F198" s="10">
        <f t="shared" si="5"/>
        <v>2.650221128374235E-4</v>
      </c>
      <c r="G198" s="11">
        <v>118.252</v>
      </c>
      <c r="H198" s="12" t="s">
        <v>82</v>
      </c>
      <c r="I198" s="12" t="s">
        <v>74</v>
      </c>
      <c r="L198" s="13" t="s">
        <v>15</v>
      </c>
    </row>
    <row r="199" spans="1:30">
      <c r="A199" s="6" t="e">
        <f t="shared" ca="1" si="4"/>
        <v>#NAME?</v>
      </c>
      <c r="B199" s="7">
        <v>110</v>
      </c>
      <c r="C199" s="8" t="s">
        <v>342</v>
      </c>
      <c r="D199" s="9">
        <v>18350</v>
      </c>
      <c r="E199" s="9">
        <v>19329</v>
      </c>
      <c r="F199" s="10">
        <f t="shared" si="5"/>
        <v>1.6973533528941548E-3</v>
      </c>
      <c r="G199" s="11">
        <v>229.73599999999999</v>
      </c>
      <c r="H199" s="12" t="s">
        <v>101</v>
      </c>
      <c r="I199" s="12" t="s">
        <v>19</v>
      </c>
      <c r="L199" s="13" t="s">
        <v>15</v>
      </c>
    </row>
    <row r="200" spans="1:30">
      <c r="A200" s="6" t="e">
        <f t="shared" ca="1" si="4"/>
        <v>#NAME?</v>
      </c>
      <c r="B200" s="7">
        <v>209</v>
      </c>
      <c r="C200" s="8" t="s">
        <v>343</v>
      </c>
      <c r="D200" s="9">
        <v>6048</v>
      </c>
      <c r="E200" s="9">
        <v>6776</v>
      </c>
      <c r="F200" s="10">
        <f t="shared" si="5"/>
        <v>5.9502645347461291E-4</v>
      </c>
      <c r="G200" s="11">
        <v>822.60799999999995</v>
      </c>
      <c r="H200" s="12" t="s">
        <v>13</v>
      </c>
      <c r="I200" s="12" t="s">
        <v>14</v>
      </c>
      <c r="L200" s="13" t="s">
        <v>15</v>
      </c>
    </row>
    <row r="201" spans="1:30">
      <c r="A201" s="6" t="e">
        <f t="shared" ca="1" si="4"/>
        <v>#NAME?</v>
      </c>
      <c r="B201" s="7">
        <v>277</v>
      </c>
      <c r="C201" s="8" t="s">
        <v>344</v>
      </c>
      <c r="D201" s="9">
        <v>4919</v>
      </c>
      <c r="E201" s="9">
        <v>4788</v>
      </c>
      <c r="F201" s="10">
        <f t="shared" si="5"/>
        <v>4.2045257662875541E-4</v>
      </c>
      <c r="G201" s="11">
        <v>134.46299999999999</v>
      </c>
      <c r="H201" s="12" t="s">
        <v>101</v>
      </c>
      <c r="I201" s="12" t="s">
        <v>19</v>
      </c>
      <c r="L201" s="13" t="s">
        <v>15</v>
      </c>
    </row>
    <row r="202" spans="1:30">
      <c r="A202" s="6" t="e">
        <f t="shared" ca="1" si="4"/>
        <v>#NAME?</v>
      </c>
      <c r="B202" s="7">
        <v>299</v>
      </c>
      <c r="C202" s="12" t="s">
        <v>345</v>
      </c>
      <c r="D202" s="9">
        <v>4371</v>
      </c>
      <c r="E202" s="9">
        <v>4412</v>
      </c>
      <c r="F202" s="10">
        <f t="shared" si="5"/>
        <v>3.8743457980076624E-4</v>
      </c>
      <c r="G202" s="11">
        <v>195.42599999999999</v>
      </c>
      <c r="H202" s="12" t="s">
        <v>82</v>
      </c>
      <c r="I202" s="12" t="s">
        <v>74</v>
      </c>
      <c r="L202" s="13" t="s">
        <v>15</v>
      </c>
    </row>
    <row r="203" spans="1:30">
      <c r="A203" s="53" t="e">
        <f t="shared" ca="1" si="4"/>
        <v>#NAME?</v>
      </c>
      <c r="B203" s="14">
        <v>284</v>
      </c>
      <c r="C203" s="15" t="s">
        <v>346</v>
      </c>
      <c r="D203" s="16">
        <v>4710</v>
      </c>
      <c r="E203" s="16">
        <v>4719</v>
      </c>
      <c r="F203" s="17">
        <f t="shared" si="5"/>
        <v>4.1439342295553397E-4</v>
      </c>
      <c r="G203" s="18">
        <v>348.77800000000002</v>
      </c>
      <c r="H203" s="19" t="s">
        <v>109</v>
      </c>
      <c r="I203" s="19" t="s">
        <v>19</v>
      </c>
      <c r="J203" s="20">
        <v>44050</v>
      </c>
      <c r="K203" s="21" t="s">
        <v>347</v>
      </c>
      <c r="L203" s="13" t="s">
        <v>21</v>
      </c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>
      <c r="A204" s="6" t="e">
        <f t="shared" ca="1" si="4"/>
        <v>#NAME?</v>
      </c>
      <c r="B204" s="46">
        <v>200</v>
      </c>
      <c r="C204" s="47" t="s">
        <v>348</v>
      </c>
      <c r="D204" s="48">
        <v>7262</v>
      </c>
      <c r="E204" s="48">
        <v>7338</v>
      </c>
      <c r="F204" s="49">
        <f t="shared" si="5"/>
        <v>6.4437782107389454E-4</v>
      </c>
      <c r="G204" s="50">
        <v>292.16000000000003</v>
      </c>
      <c r="H204" s="51" t="s">
        <v>18</v>
      </c>
      <c r="I204" s="51" t="s">
        <v>19</v>
      </c>
      <c r="J204" s="52">
        <v>44016</v>
      </c>
      <c r="K204" s="24" t="s">
        <v>97</v>
      </c>
      <c r="L204" s="13" t="s">
        <v>15</v>
      </c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>
      <c r="A205" s="6" t="e">
        <f t="shared" ca="1" si="4"/>
        <v>#NAME?</v>
      </c>
      <c r="B205" s="46">
        <v>310</v>
      </c>
      <c r="C205" s="51" t="s">
        <v>349</v>
      </c>
      <c r="D205" s="48">
        <v>4061</v>
      </c>
      <c r="E205" s="48">
        <v>4027</v>
      </c>
      <c r="F205" s="49">
        <f t="shared" si="5"/>
        <v>3.5362625858061781E-4</v>
      </c>
      <c r="G205" s="50">
        <v>307.16399999999999</v>
      </c>
      <c r="H205" s="51" t="s">
        <v>112</v>
      </c>
      <c r="I205" s="51" t="s">
        <v>19</v>
      </c>
      <c r="J205" s="52">
        <v>44027</v>
      </c>
      <c r="K205" s="24" t="s">
        <v>350</v>
      </c>
      <c r="L205" s="13" t="s">
        <v>15</v>
      </c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>
      <c r="A206" s="6" t="e">
        <f t="shared" ca="1" si="4"/>
        <v>#NAME?</v>
      </c>
      <c r="B206" s="7">
        <v>109</v>
      </c>
      <c r="C206" s="8" t="s">
        <v>351</v>
      </c>
      <c r="D206" s="9">
        <v>19312</v>
      </c>
      <c r="E206" s="9">
        <v>20350</v>
      </c>
      <c r="F206" s="10">
        <f t="shared" si="5"/>
        <v>1.7870112644935614E-3</v>
      </c>
      <c r="G206" s="11">
        <v>607.18499999999995</v>
      </c>
      <c r="H206" s="12" t="s">
        <v>42</v>
      </c>
      <c r="I206" s="12" t="s">
        <v>19</v>
      </c>
      <c r="L206" s="13" t="s">
        <v>15</v>
      </c>
    </row>
    <row r="207" spans="1:30">
      <c r="A207" s="6" t="e">
        <f t="shared" ca="1" si="4"/>
        <v>#NAME?</v>
      </c>
      <c r="B207" s="46">
        <v>61</v>
      </c>
      <c r="C207" s="47" t="s">
        <v>352</v>
      </c>
      <c r="D207" s="48">
        <v>31663</v>
      </c>
      <c r="E207" s="48">
        <v>36899</v>
      </c>
      <c r="F207" s="49">
        <f t="shared" si="5"/>
        <v>3.2402421940318392E-3</v>
      </c>
      <c r="G207" s="50">
        <v>136.78399999999999</v>
      </c>
      <c r="H207" s="51" t="s">
        <v>170</v>
      </c>
      <c r="I207" s="51" t="s">
        <v>45</v>
      </c>
      <c r="J207" s="52">
        <v>43965</v>
      </c>
      <c r="K207" s="24" t="s">
        <v>353</v>
      </c>
      <c r="L207" s="13" t="s">
        <v>15</v>
      </c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>
      <c r="A208" s="6" t="e">
        <f t="shared" ca="1" si="4"/>
        <v>#NAME?</v>
      </c>
      <c r="B208" s="46">
        <v>22</v>
      </c>
      <c r="C208" s="47" t="s">
        <v>28</v>
      </c>
      <c r="D208" s="48">
        <v>78920</v>
      </c>
      <c r="E208" s="48">
        <v>83475</v>
      </c>
      <c r="F208" s="49">
        <f t="shared" si="5"/>
        <v>7.3302587372776435E-3</v>
      </c>
      <c r="G208" s="50">
        <v>689.06399999999996</v>
      </c>
      <c r="H208" s="51" t="s">
        <v>28</v>
      </c>
      <c r="I208" s="51" t="s">
        <v>19</v>
      </c>
      <c r="J208" s="52">
        <v>44169</v>
      </c>
      <c r="K208" s="24" t="s">
        <v>354</v>
      </c>
      <c r="L208" s="13" t="s">
        <v>15</v>
      </c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>
      <c r="A209" s="6" t="e">
        <f t="shared" ca="1" si="4"/>
        <v>#NAME?</v>
      </c>
      <c r="B209" s="46">
        <v>309</v>
      </c>
      <c r="C209" s="47" t="s">
        <v>355</v>
      </c>
      <c r="D209" s="48">
        <v>4098</v>
      </c>
      <c r="E209" s="48">
        <v>4091</v>
      </c>
      <c r="F209" s="49">
        <f t="shared" si="5"/>
        <v>3.5924634314708401E-4</v>
      </c>
      <c r="G209" s="50">
        <v>118.14400000000001</v>
      </c>
      <c r="H209" s="51" t="s">
        <v>56</v>
      </c>
      <c r="I209" s="51" t="s">
        <v>57</v>
      </c>
      <c r="J209" s="52">
        <v>44026</v>
      </c>
      <c r="K209" s="24" t="s">
        <v>356</v>
      </c>
      <c r="L209" s="13" t="s">
        <v>15</v>
      </c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>
      <c r="A210" s="53" t="e">
        <f t="shared" ca="1" si="4"/>
        <v>#NAME?</v>
      </c>
      <c r="B210" s="14">
        <v>98</v>
      </c>
      <c r="C210" s="19" t="s">
        <v>357</v>
      </c>
      <c r="D210" s="16">
        <v>17667</v>
      </c>
      <c r="E210" s="16">
        <v>22800</v>
      </c>
      <c r="F210" s="17">
        <f t="shared" si="5"/>
        <v>2.002155126803597E-3</v>
      </c>
      <c r="G210" s="18">
        <v>39.765999999999998</v>
      </c>
      <c r="H210" s="19" t="s">
        <v>79</v>
      </c>
      <c r="I210" s="19" t="s">
        <v>45</v>
      </c>
      <c r="J210" s="20">
        <v>43999</v>
      </c>
      <c r="K210" s="21" t="s">
        <v>358</v>
      </c>
      <c r="L210" s="13" t="s">
        <v>21</v>
      </c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>
      <c r="A211" s="6" t="e">
        <f t="shared" ca="1" si="4"/>
        <v>#NAME?</v>
      </c>
      <c r="B211" s="25">
        <v>358</v>
      </c>
      <c r="C211" s="30" t="s">
        <v>359</v>
      </c>
      <c r="D211" s="27">
        <v>3025</v>
      </c>
      <c r="E211" s="27">
        <v>3116</v>
      </c>
      <c r="F211" s="28">
        <f t="shared" si="5"/>
        <v>2.7362786732982496E-4</v>
      </c>
      <c r="G211" s="29">
        <v>73.588999999999999</v>
      </c>
      <c r="H211" s="30" t="s">
        <v>73</v>
      </c>
      <c r="I211" s="30" t="s">
        <v>74</v>
      </c>
      <c r="J211" s="31">
        <v>44024</v>
      </c>
      <c r="K211" s="32" t="s">
        <v>191</v>
      </c>
      <c r="L211" s="13" t="s">
        <v>15</v>
      </c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spans="1:30">
      <c r="A212" s="6" t="e">
        <f t="shared" ca="1" si="4"/>
        <v>#NAME?</v>
      </c>
      <c r="B212" s="7">
        <v>234</v>
      </c>
      <c r="C212" s="8" t="s">
        <v>360</v>
      </c>
      <c r="D212" s="9">
        <v>6618</v>
      </c>
      <c r="E212" s="9">
        <v>6167</v>
      </c>
      <c r="F212" s="10">
        <f t="shared" si="5"/>
        <v>5.4154783627183257E-4</v>
      </c>
      <c r="G212" s="11">
        <v>358.28300000000002</v>
      </c>
      <c r="H212" s="12" t="s">
        <v>31</v>
      </c>
      <c r="I212" s="12" t="s">
        <v>19</v>
      </c>
      <c r="L212" s="13" t="s">
        <v>15</v>
      </c>
    </row>
    <row r="213" spans="1:30">
      <c r="A213" s="6" t="e">
        <f t="shared" ca="1" si="4"/>
        <v>#NAME?</v>
      </c>
      <c r="B213" s="7">
        <v>437</v>
      </c>
      <c r="C213" s="12" t="s">
        <v>361</v>
      </c>
      <c r="D213" s="9">
        <v>2267</v>
      </c>
      <c r="E213" s="9">
        <v>2235</v>
      </c>
      <c r="F213" s="10">
        <f t="shared" si="5"/>
        <v>1.9626389071956314E-4</v>
      </c>
      <c r="G213" s="11">
        <v>113.749</v>
      </c>
      <c r="H213" s="12" t="s">
        <v>28</v>
      </c>
      <c r="I213" s="12" t="s">
        <v>19</v>
      </c>
      <c r="L213" s="13" t="s">
        <v>15</v>
      </c>
    </row>
    <row r="214" spans="1:30">
      <c r="A214" s="6" t="e">
        <f t="shared" ca="1" si="4"/>
        <v>#NAME?</v>
      </c>
      <c r="B214" s="46">
        <v>217</v>
      </c>
      <c r="C214" s="47" t="s">
        <v>362</v>
      </c>
      <c r="D214" s="48">
        <v>6017</v>
      </c>
      <c r="E214" s="48">
        <v>6640</v>
      </c>
      <c r="F214" s="49">
        <f t="shared" si="5"/>
        <v>5.8308377377087211E-4</v>
      </c>
      <c r="G214" s="50">
        <v>599.36099999999999</v>
      </c>
      <c r="H214" s="51" t="s">
        <v>125</v>
      </c>
      <c r="I214" s="51" t="s">
        <v>57</v>
      </c>
      <c r="J214" s="52">
        <v>44015</v>
      </c>
      <c r="K214" s="24" t="s">
        <v>363</v>
      </c>
      <c r="L214" s="13" t="s">
        <v>15</v>
      </c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>
      <c r="A215" s="6" t="e">
        <f t="shared" ca="1" si="4"/>
        <v>#NAME?</v>
      </c>
      <c r="B215" s="7">
        <v>466</v>
      </c>
      <c r="C215" s="8" t="s">
        <v>364</v>
      </c>
      <c r="D215" s="9">
        <v>1944</v>
      </c>
      <c r="E215" s="9">
        <v>1899</v>
      </c>
      <c r="F215" s="10">
        <f t="shared" si="5"/>
        <v>1.6675844674561539E-4</v>
      </c>
      <c r="G215" s="11">
        <v>157.88200000000001</v>
      </c>
      <c r="H215" s="12" t="s">
        <v>70</v>
      </c>
      <c r="I215" s="12" t="s">
        <v>19</v>
      </c>
      <c r="J215" s="70">
        <v>46178</v>
      </c>
      <c r="K215" s="34" t="s">
        <v>365</v>
      </c>
      <c r="L215" s="13" t="s">
        <v>15</v>
      </c>
    </row>
    <row r="216" spans="1:30">
      <c r="A216" s="6" t="e">
        <f t="shared" ca="1" si="4"/>
        <v>#NAME?</v>
      </c>
      <c r="B216" s="7">
        <v>201</v>
      </c>
      <c r="C216" s="8" t="s">
        <v>366</v>
      </c>
      <c r="D216" s="9">
        <v>8078</v>
      </c>
      <c r="E216" s="9">
        <v>7241</v>
      </c>
      <c r="F216" s="10">
        <f t="shared" si="5"/>
        <v>6.3585988040284417E-4</v>
      </c>
      <c r="G216" s="11">
        <v>181.57900000000001</v>
      </c>
      <c r="H216" s="12" t="s">
        <v>39</v>
      </c>
      <c r="I216" s="12" t="s">
        <v>19</v>
      </c>
      <c r="L216" s="13" t="s">
        <v>15</v>
      </c>
    </row>
    <row r="217" spans="1:30">
      <c r="A217" s="6" t="e">
        <f t="shared" ca="1" si="4"/>
        <v>#NAME?</v>
      </c>
      <c r="B217" s="25">
        <v>251</v>
      </c>
      <c r="C217" s="26" t="s">
        <v>367</v>
      </c>
      <c r="D217" s="27">
        <v>5011</v>
      </c>
      <c r="E217" s="27">
        <v>5499</v>
      </c>
      <c r="F217" s="28">
        <f t="shared" si="5"/>
        <v>4.8288820360934125E-4</v>
      </c>
      <c r="G217" s="29">
        <v>172.80099999999999</v>
      </c>
      <c r="H217" s="30" t="s">
        <v>143</v>
      </c>
      <c r="I217" s="30" t="s">
        <v>25</v>
      </c>
      <c r="J217" s="31">
        <v>45711</v>
      </c>
      <c r="K217" s="32" t="s">
        <v>233</v>
      </c>
      <c r="L217" s="80" t="s">
        <v>15</v>
      </c>
    </row>
    <row r="218" spans="1:30">
      <c r="A218" s="6" t="e">
        <f t="shared" ca="1" si="4"/>
        <v>#NAME?</v>
      </c>
      <c r="B218" s="7">
        <v>337</v>
      </c>
      <c r="C218" s="12" t="s">
        <v>368</v>
      </c>
      <c r="D218" s="9">
        <v>3441</v>
      </c>
      <c r="E218" s="9">
        <v>3470</v>
      </c>
      <c r="F218" s="10">
        <f t="shared" si="5"/>
        <v>3.047139600880913E-4</v>
      </c>
      <c r="G218" s="11">
        <v>1120.874</v>
      </c>
      <c r="H218" s="12" t="s">
        <v>181</v>
      </c>
      <c r="I218" s="12" t="s">
        <v>25</v>
      </c>
      <c r="L218" s="13" t="s">
        <v>15</v>
      </c>
    </row>
    <row r="219" spans="1:30">
      <c r="A219" s="6" t="e">
        <f t="shared" ca="1" si="4"/>
        <v>#NAME?</v>
      </c>
      <c r="B219" s="14">
        <v>442</v>
      </c>
      <c r="C219" s="15" t="s">
        <v>369</v>
      </c>
      <c r="D219" s="16">
        <v>2337</v>
      </c>
      <c r="E219" s="16">
        <v>2125</v>
      </c>
      <c r="F219" s="17">
        <f t="shared" si="5"/>
        <v>1.8660437037094929E-4</v>
      </c>
      <c r="G219" s="18">
        <v>184.673</v>
      </c>
      <c r="H219" s="19" t="s">
        <v>56</v>
      </c>
      <c r="I219" s="19" t="s">
        <v>57</v>
      </c>
      <c r="J219" s="20">
        <v>44026</v>
      </c>
      <c r="K219" s="21" t="s">
        <v>370</v>
      </c>
      <c r="L219" s="13" t="s">
        <v>21</v>
      </c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>
      <c r="A220" s="6" t="e">
        <f t="shared" ca="1" si="4"/>
        <v>#NAME?</v>
      </c>
      <c r="B220" s="7">
        <v>59</v>
      </c>
      <c r="C220" s="8" t="s">
        <v>371</v>
      </c>
      <c r="D220" s="9">
        <v>38166</v>
      </c>
      <c r="E220" s="9">
        <v>37620</v>
      </c>
      <c r="F220" s="10">
        <f t="shared" si="5"/>
        <v>3.3035559592259353E-3</v>
      </c>
      <c r="G220" s="11">
        <v>3406.6060000000002</v>
      </c>
      <c r="H220" s="12" t="s">
        <v>33</v>
      </c>
      <c r="I220" s="12" t="s">
        <v>14</v>
      </c>
      <c r="L220" s="13" t="s">
        <v>15</v>
      </c>
    </row>
    <row r="221" spans="1:30">
      <c r="A221" s="53" t="e">
        <f t="shared" ca="1" si="4"/>
        <v>#NAME?</v>
      </c>
      <c r="B221" s="14">
        <v>421</v>
      </c>
      <c r="C221" s="19" t="s">
        <v>372</v>
      </c>
      <c r="D221" s="16">
        <v>2589</v>
      </c>
      <c r="E221" s="16">
        <v>2441</v>
      </c>
      <c r="F221" s="17">
        <f t="shared" si="5"/>
        <v>2.1435353791787634E-4</v>
      </c>
      <c r="G221" s="18">
        <v>206.91</v>
      </c>
      <c r="H221" s="19" t="s">
        <v>79</v>
      </c>
      <c r="I221" s="19" t="s">
        <v>45</v>
      </c>
      <c r="J221" s="20">
        <v>43998</v>
      </c>
      <c r="K221" s="21" t="s">
        <v>373</v>
      </c>
      <c r="L221" s="13" t="s">
        <v>21</v>
      </c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>
      <c r="A222" s="6" t="e">
        <f t="shared" ca="1" si="4"/>
        <v>#NAME?</v>
      </c>
      <c r="B222" s="7">
        <v>339</v>
      </c>
      <c r="C222" s="12" t="s">
        <v>374</v>
      </c>
      <c r="D222" s="9">
        <v>4171</v>
      </c>
      <c r="E222" s="9">
        <v>3420</v>
      </c>
      <c r="F222" s="10">
        <f t="shared" si="5"/>
        <v>3.0032326902053959E-4</v>
      </c>
      <c r="G222" s="11">
        <v>212.66900000000001</v>
      </c>
      <c r="H222" s="12" t="s">
        <v>70</v>
      </c>
      <c r="I222" s="12" t="s">
        <v>19</v>
      </c>
      <c r="J222" s="70">
        <v>46178</v>
      </c>
      <c r="K222" s="34" t="s">
        <v>115</v>
      </c>
      <c r="L222" s="13" t="s">
        <v>15</v>
      </c>
    </row>
    <row r="223" spans="1:30">
      <c r="A223" s="6" t="e">
        <f t="shared" ca="1" si="4"/>
        <v>#NAME?</v>
      </c>
      <c r="B223" s="7">
        <v>465</v>
      </c>
      <c r="C223" s="8" t="s">
        <v>375</v>
      </c>
      <c r="D223" s="9">
        <v>2156</v>
      </c>
      <c r="E223" s="9">
        <v>1940</v>
      </c>
      <c r="F223" s="10">
        <f t="shared" si="5"/>
        <v>1.7035881342100783E-4</v>
      </c>
      <c r="G223" s="11">
        <v>122.93</v>
      </c>
      <c r="H223" s="12" t="s">
        <v>24</v>
      </c>
      <c r="I223" s="12" t="s">
        <v>25</v>
      </c>
      <c r="L223" s="13" t="s">
        <v>15</v>
      </c>
    </row>
    <row r="224" spans="1:30">
      <c r="A224" s="6" t="e">
        <f t="shared" ca="1" si="4"/>
        <v>#NAME?</v>
      </c>
      <c r="B224" s="46">
        <v>91</v>
      </c>
      <c r="C224" s="47" t="s">
        <v>376</v>
      </c>
      <c r="D224" s="48">
        <v>19877</v>
      </c>
      <c r="E224" s="48">
        <v>24293</v>
      </c>
      <c r="F224" s="49">
        <f t="shared" si="5"/>
        <v>2.1332611620806922E-3</v>
      </c>
      <c r="G224" s="50">
        <v>63.091999999999999</v>
      </c>
      <c r="H224" s="51" t="s">
        <v>170</v>
      </c>
      <c r="I224" s="51" t="s">
        <v>45</v>
      </c>
      <c r="J224" s="52">
        <v>43977</v>
      </c>
      <c r="K224" s="24" t="s">
        <v>377</v>
      </c>
      <c r="L224" s="13" t="s">
        <v>15</v>
      </c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>
      <c r="A225" s="6" t="e">
        <f t="shared" ca="1" si="4"/>
        <v>#NAME?</v>
      </c>
      <c r="B225" s="7">
        <v>318</v>
      </c>
      <c r="C225" s="8" t="s">
        <v>378</v>
      </c>
      <c r="D225" s="9">
        <v>4111</v>
      </c>
      <c r="E225" s="9">
        <v>3848</v>
      </c>
      <c r="F225" s="10">
        <f t="shared" si="5"/>
        <v>3.3790758455878254E-4</v>
      </c>
      <c r="G225" s="11">
        <v>127.589</v>
      </c>
      <c r="H225" s="12" t="s">
        <v>36</v>
      </c>
      <c r="I225" s="12" t="s">
        <v>19</v>
      </c>
      <c r="L225" s="13" t="s">
        <v>15</v>
      </c>
    </row>
    <row r="226" spans="1:30">
      <c r="A226" s="6" t="e">
        <f t="shared" ca="1" si="4"/>
        <v>#NAME?</v>
      </c>
      <c r="B226" s="7">
        <v>402</v>
      </c>
      <c r="C226" s="8" t="s">
        <v>379</v>
      </c>
      <c r="D226" s="9">
        <v>2507</v>
      </c>
      <c r="E226" s="9">
        <v>2679</v>
      </c>
      <c r="F226" s="10">
        <f t="shared" si="5"/>
        <v>2.3525322739942266E-4</v>
      </c>
      <c r="G226" s="11">
        <v>339.399</v>
      </c>
      <c r="H226" s="12" t="s">
        <v>42</v>
      </c>
      <c r="I226" s="12" t="s">
        <v>19</v>
      </c>
      <c r="L226" s="13" t="s">
        <v>15</v>
      </c>
    </row>
    <row r="227" spans="1:30">
      <c r="A227" s="6" t="e">
        <f t="shared" ca="1" si="4"/>
        <v>#NAME?</v>
      </c>
      <c r="B227" s="7">
        <v>331</v>
      </c>
      <c r="C227" s="12" t="s">
        <v>380</v>
      </c>
      <c r="D227" s="9">
        <v>3630</v>
      </c>
      <c r="E227" s="9">
        <v>3576</v>
      </c>
      <c r="F227" s="10">
        <f t="shared" si="5"/>
        <v>3.1402222515130104E-4</v>
      </c>
      <c r="G227" s="11">
        <v>179.238</v>
      </c>
      <c r="H227" s="12" t="s">
        <v>70</v>
      </c>
      <c r="I227" s="12" t="s">
        <v>19</v>
      </c>
      <c r="J227" s="70">
        <v>46178</v>
      </c>
      <c r="K227" s="34" t="s">
        <v>248</v>
      </c>
      <c r="L227" s="13" t="s">
        <v>15</v>
      </c>
    </row>
    <row r="228" spans="1:30">
      <c r="A228" s="6" t="e">
        <f t="shared" ca="1" si="4"/>
        <v>#NAME?</v>
      </c>
      <c r="B228" s="46">
        <v>84</v>
      </c>
      <c r="C228" s="47" t="s">
        <v>86</v>
      </c>
      <c r="D228" s="48">
        <v>27942</v>
      </c>
      <c r="E228" s="48">
        <v>26680</v>
      </c>
      <c r="F228" s="49">
        <f t="shared" si="5"/>
        <v>2.3428727536456127E-3</v>
      </c>
      <c r="G228" s="50">
        <v>2051.8449999999998</v>
      </c>
      <c r="H228" s="51" t="s">
        <v>86</v>
      </c>
      <c r="I228" s="51" t="s">
        <v>51</v>
      </c>
      <c r="J228" s="52">
        <v>43987</v>
      </c>
      <c r="K228" s="24" t="s">
        <v>381</v>
      </c>
      <c r="L228" s="13" t="s">
        <v>15</v>
      </c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>
      <c r="A229" s="6" t="e">
        <f t="shared" ca="1" si="4"/>
        <v>#NAME?</v>
      </c>
      <c r="B229" s="25">
        <v>157</v>
      </c>
      <c r="C229" s="26" t="s">
        <v>382</v>
      </c>
      <c r="D229" s="27">
        <v>11478</v>
      </c>
      <c r="E229" s="27">
        <v>10848</v>
      </c>
      <c r="F229" s="28">
        <f t="shared" si="5"/>
        <v>9.526043340160272E-4</v>
      </c>
      <c r="G229" s="29">
        <v>672.73500000000001</v>
      </c>
      <c r="H229" s="30" t="s">
        <v>143</v>
      </c>
      <c r="I229" s="30" t="s">
        <v>25</v>
      </c>
      <c r="J229" s="31">
        <v>45709</v>
      </c>
      <c r="K229" s="32" t="s">
        <v>757</v>
      </c>
      <c r="L229" s="80" t="s">
        <v>15</v>
      </c>
    </row>
    <row r="230" spans="1:30">
      <c r="A230" s="6" t="e">
        <f t="shared" ca="1" si="4"/>
        <v>#NAME?</v>
      </c>
      <c r="B230" s="14">
        <v>322</v>
      </c>
      <c r="C230" s="19" t="s">
        <v>383</v>
      </c>
      <c r="D230" s="16">
        <v>4177</v>
      </c>
      <c r="E230" s="16">
        <v>3773</v>
      </c>
      <c r="F230" s="17">
        <f t="shared" si="5"/>
        <v>3.3132154795745489E-4</v>
      </c>
      <c r="G230" s="18">
        <v>908.83799999999997</v>
      </c>
      <c r="H230" s="19" t="s">
        <v>125</v>
      </c>
      <c r="I230" s="19" t="s">
        <v>57</v>
      </c>
      <c r="J230" s="20">
        <v>43950</v>
      </c>
      <c r="K230" s="21" t="s">
        <v>384</v>
      </c>
      <c r="L230" s="13" t="s">
        <v>21</v>
      </c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>
      <c r="A231" s="6" t="e">
        <f t="shared" ca="1" si="4"/>
        <v>#NAME?</v>
      </c>
      <c r="B231" s="7">
        <v>334</v>
      </c>
      <c r="C231" s="12" t="s">
        <v>385</v>
      </c>
      <c r="D231" s="9">
        <v>3575</v>
      </c>
      <c r="E231" s="9">
        <v>3518</v>
      </c>
      <c r="F231" s="10">
        <f t="shared" si="5"/>
        <v>3.0892902351294099E-4</v>
      </c>
      <c r="G231" s="11">
        <v>856.47500000000002</v>
      </c>
      <c r="H231" s="12" t="s">
        <v>181</v>
      </c>
      <c r="I231" s="12" t="s">
        <v>25</v>
      </c>
      <c r="L231" s="13" t="s">
        <v>15</v>
      </c>
    </row>
    <row r="232" spans="1:30">
      <c r="A232" s="6" t="e">
        <f t="shared" ca="1" si="4"/>
        <v>#NAME?</v>
      </c>
      <c r="B232" s="7">
        <v>176</v>
      </c>
      <c r="C232" s="8" t="s">
        <v>386</v>
      </c>
      <c r="D232" s="9">
        <v>8329</v>
      </c>
      <c r="E232" s="9">
        <v>8560</v>
      </c>
      <c r="F232" s="10">
        <f t="shared" si="5"/>
        <v>7.5168631076485927E-4</v>
      </c>
      <c r="G232" s="11">
        <v>1238.9380000000001</v>
      </c>
      <c r="H232" s="12" t="s">
        <v>42</v>
      </c>
      <c r="I232" s="12" t="s">
        <v>19</v>
      </c>
      <c r="L232" s="13" t="s">
        <v>15</v>
      </c>
    </row>
    <row r="233" spans="1:30">
      <c r="A233" s="6" t="e">
        <f t="shared" ca="1" si="4"/>
        <v>#NAME?</v>
      </c>
      <c r="B233" s="7">
        <v>111</v>
      </c>
      <c r="C233" s="8" t="s">
        <v>387</v>
      </c>
      <c r="D233" s="9">
        <v>19579</v>
      </c>
      <c r="E233" s="9">
        <v>19293</v>
      </c>
      <c r="F233" s="10">
        <f t="shared" si="5"/>
        <v>1.6941920553255176E-3</v>
      </c>
      <c r="G233" s="11">
        <v>1929.5440000000001</v>
      </c>
      <c r="H233" s="12" t="s">
        <v>181</v>
      </c>
      <c r="I233" s="12" t="s">
        <v>25</v>
      </c>
      <c r="L233" s="13" t="s">
        <v>15</v>
      </c>
    </row>
    <row r="234" spans="1:30">
      <c r="A234" s="6" t="e">
        <f t="shared" ca="1" si="4"/>
        <v>#NAME?</v>
      </c>
      <c r="B234" s="7">
        <v>379</v>
      </c>
      <c r="C234" s="8" t="s">
        <v>388</v>
      </c>
      <c r="D234" s="9">
        <v>2662</v>
      </c>
      <c r="E234" s="9">
        <v>2884</v>
      </c>
      <c r="F234" s="10">
        <f t="shared" si="5"/>
        <v>2.5325506077638482E-4</v>
      </c>
      <c r="G234" s="11">
        <v>109.28100000000001</v>
      </c>
      <c r="H234" s="12" t="s">
        <v>82</v>
      </c>
      <c r="I234" s="12" t="s">
        <v>74</v>
      </c>
      <c r="L234" s="13" t="s">
        <v>15</v>
      </c>
    </row>
    <row r="235" spans="1:30">
      <c r="A235" s="53" t="e">
        <f t="shared" ca="1" si="4"/>
        <v>#NAME?</v>
      </c>
      <c r="B235" s="71">
        <v>486</v>
      </c>
      <c r="C235" s="72" t="s">
        <v>389</v>
      </c>
      <c r="D235" s="73">
        <v>1598</v>
      </c>
      <c r="E235" s="73">
        <v>1611</v>
      </c>
      <c r="F235" s="74">
        <f t="shared" si="5"/>
        <v>1.4146806619651732E-4</v>
      </c>
      <c r="G235" s="75">
        <v>138.602</v>
      </c>
      <c r="H235" s="76" t="s">
        <v>227</v>
      </c>
      <c r="I235" s="76" t="s">
        <v>19</v>
      </c>
      <c r="J235" s="77">
        <v>44389</v>
      </c>
      <c r="K235" s="78" t="s">
        <v>390</v>
      </c>
      <c r="L235" s="13" t="s">
        <v>21</v>
      </c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</row>
    <row r="236" spans="1:30">
      <c r="A236" s="6" t="e">
        <f t="shared" ca="1" si="4"/>
        <v>#NAME?</v>
      </c>
      <c r="B236" s="46">
        <v>79</v>
      </c>
      <c r="C236" s="47" t="s">
        <v>391</v>
      </c>
      <c r="D236" s="48">
        <v>27529</v>
      </c>
      <c r="E236" s="48">
        <v>27807</v>
      </c>
      <c r="F236" s="49">
        <f t="shared" si="5"/>
        <v>2.4418389303082293E-3</v>
      </c>
      <c r="G236" s="50">
        <v>1260.2270000000001</v>
      </c>
      <c r="H236" s="51" t="s">
        <v>125</v>
      </c>
      <c r="I236" s="51" t="s">
        <v>57</v>
      </c>
      <c r="J236" s="52">
        <v>44016</v>
      </c>
      <c r="K236" s="24" t="s">
        <v>392</v>
      </c>
      <c r="L236" s="13" t="s">
        <v>15</v>
      </c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>
      <c r="A237" s="6" t="e">
        <f t="shared" ca="1" si="4"/>
        <v>#NAME?</v>
      </c>
      <c r="B237" s="7">
        <v>224</v>
      </c>
      <c r="C237" s="8" t="s">
        <v>393</v>
      </c>
      <c r="D237" s="9">
        <v>6185</v>
      </c>
      <c r="E237" s="9">
        <v>6452</v>
      </c>
      <c r="F237" s="10">
        <f t="shared" si="5"/>
        <v>5.6657477535687758E-4</v>
      </c>
      <c r="G237" s="11">
        <v>387.45499999999998</v>
      </c>
      <c r="H237" s="12" t="s">
        <v>112</v>
      </c>
      <c r="I237" s="12" t="s">
        <v>19</v>
      </c>
      <c r="L237" s="13" t="s">
        <v>15</v>
      </c>
    </row>
    <row r="238" spans="1:30">
      <c r="A238" s="6" t="e">
        <f t="shared" ca="1" si="4"/>
        <v>#NAME?</v>
      </c>
      <c r="B238" s="25">
        <v>21</v>
      </c>
      <c r="C238" s="26" t="s">
        <v>394</v>
      </c>
      <c r="D238" s="27">
        <v>71481</v>
      </c>
      <c r="E238" s="27">
        <v>84014</v>
      </c>
      <c r="F238" s="28">
        <f t="shared" si="5"/>
        <v>7.3775903869858512E-3</v>
      </c>
      <c r="G238" s="29">
        <v>91.313999999999993</v>
      </c>
      <c r="H238" s="30" t="s">
        <v>73</v>
      </c>
      <c r="I238" s="30" t="s">
        <v>74</v>
      </c>
      <c r="J238" s="31">
        <v>44388</v>
      </c>
      <c r="K238" s="32" t="s">
        <v>395</v>
      </c>
      <c r="L238" s="13" t="s">
        <v>15</v>
      </c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spans="1:30">
      <c r="A239" s="6" t="e">
        <f t="shared" ca="1" si="4"/>
        <v>#NAME?</v>
      </c>
      <c r="B239" s="7">
        <v>409</v>
      </c>
      <c r="C239" s="8" t="s">
        <v>396</v>
      </c>
      <c r="D239" s="9">
        <v>2487</v>
      </c>
      <c r="E239" s="9">
        <v>2561</v>
      </c>
      <c r="F239" s="10">
        <f t="shared" si="5"/>
        <v>2.2489119648000052E-4</v>
      </c>
      <c r="G239" s="11">
        <v>67.947000000000003</v>
      </c>
      <c r="H239" s="12" t="s">
        <v>36</v>
      </c>
      <c r="I239" s="12" t="s">
        <v>19</v>
      </c>
      <c r="L239" s="13" t="s">
        <v>15</v>
      </c>
    </row>
    <row r="240" spans="1:30">
      <c r="A240" s="6" t="e">
        <f t="shared" ca="1" si="4"/>
        <v>#NAME?</v>
      </c>
      <c r="B240" s="7">
        <v>195</v>
      </c>
      <c r="C240" s="8" t="s">
        <v>397</v>
      </c>
      <c r="D240" s="9">
        <v>7669</v>
      </c>
      <c r="E240" s="9">
        <v>7480</v>
      </c>
      <c r="F240" s="10">
        <f t="shared" si="5"/>
        <v>6.5684738370574156E-4</v>
      </c>
      <c r="G240" s="11">
        <v>2600.9690000000001</v>
      </c>
      <c r="H240" s="12" t="s">
        <v>13</v>
      </c>
      <c r="I240" s="12" t="s">
        <v>14</v>
      </c>
      <c r="L240" s="13" t="s">
        <v>15</v>
      </c>
    </row>
    <row r="241" spans="1:30">
      <c r="A241" s="6" t="e">
        <f t="shared" ca="1" si="4"/>
        <v>#NAME?</v>
      </c>
      <c r="B241" s="7">
        <v>262</v>
      </c>
      <c r="C241" s="8" t="s">
        <v>398</v>
      </c>
      <c r="D241" s="9">
        <v>5780</v>
      </c>
      <c r="E241" s="9">
        <v>5219</v>
      </c>
      <c r="F241" s="10">
        <f t="shared" si="5"/>
        <v>4.5830033363105147E-4</v>
      </c>
      <c r="G241" s="11">
        <v>245.62700000000001</v>
      </c>
      <c r="H241" s="12" t="s">
        <v>39</v>
      </c>
      <c r="I241" s="12" t="s">
        <v>19</v>
      </c>
      <c r="J241" s="70">
        <v>46179</v>
      </c>
      <c r="K241" s="34" t="s">
        <v>280</v>
      </c>
      <c r="L241" s="13" t="s">
        <v>15</v>
      </c>
    </row>
    <row r="242" spans="1:30">
      <c r="A242" s="53" t="e">
        <f t="shared" ca="1" si="4"/>
        <v>#NAME?</v>
      </c>
      <c r="B242" s="14">
        <v>236</v>
      </c>
      <c r="C242" s="15" t="s">
        <v>399</v>
      </c>
      <c r="D242" s="16">
        <v>5229</v>
      </c>
      <c r="E242" s="16">
        <v>6054</v>
      </c>
      <c r="F242" s="17">
        <f t="shared" si="5"/>
        <v>5.3162487445916563E-4</v>
      </c>
      <c r="G242" s="18">
        <v>33.414000000000001</v>
      </c>
      <c r="H242" s="19" t="s">
        <v>170</v>
      </c>
      <c r="I242" s="19" t="s">
        <v>45</v>
      </c>
      <c r="J242" s="20">
        <v>43977</v>
      </c>
      <c r="K242" s="21" t="s">
        <v>131</v>
      </c>
      <c r="L242" s="13" t="s">
        <v>21</v>
      </c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>
      <c r="A243" s="6" t="e">
        <f t="shared" ca="1" si="4"/>
        <v>#NAME?</v>
      </c>
      <c r="B243" s="46">
        <v>477</v>
      </c>
      <c r="C243" s="47" t="s">
        <v>400</v>
      </c>
      <c r="D243" s="48">
        <v>1624</v>
      </c>
      <c r="E243" s="48">
        <v>1708</v>
      </c>
      <c r="F243" s="49">
        <f t="shared" si="5"/>
        <v>1.4998600686756772E-4</v>
      </c>
      <c r="G243" s="50">
        <v>63.502000000000002</v>
      </c>
      <c r="H243" s="51" t="s">
        <v>44</v>
      </c>
      <c r="I243" s="51" t="s">
        <v>45</v>
      </c>
      <c r="J243" s="52">
        <v>43984</v>
      </c>
      <c r="K243" s="24" t="s">
        <v>401</v>
      </c>
      <c r="L243" s="13" t="s">
        <v>15</v>
      </c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>
      <c r="A244" s="6" t="e">
        <f t="shared" ca="1" si="4"/>
        <v>#NAME?</v>
      </c>
      <c r="B244" s="7">
        <v>291</v>
      </c>
      <c r="C244" s="8" t="s">
        <v>402</v>
      </c>
      <c r="D244" s="9">
        <v>4742</v>
      </c>
      <c r="E244" s="9">
        <v>4613</v>
      </c>
      <c r="F244" s="10">
        <f t="shared" si="5"/>
        <v>4.0508515789232428E-4</v>
      </c>
      <c r="G244" s="11">
        <v>1682.82</v>
      </c>
      <c r="H244" s="12" t="s">
        <v>33</v>
      </c>
      <c r="I244" s="12" t="s">
        <v>14</v>
      </c>
      <c r="L244" s="13" t="s">
        <v>15</v>
      </c>
    </row>
    <row r="245" spans="1:30">
      <c r="A245" s="6" t="e">
        <f t="shared" ca="1" si="4"/>
        <v>#NAME?</v>
      </c>
      <c r="B245" s="46">
        <v>255</v>
      </c>
      <c r="C245" s="47" t="s">
        <v>403</v>
      </c>
      <c r="D245" s="48">
        <v>5515</v>
      </c>
      <c r="E245" s="48">
        <v>5445</v>
      </c>
      <c r="F245" s="49">
        <f t="shared" si="5"/>
        <v>4.7814625725638534E-4</v>
      </c>
      <c r="G245" s="50">
        <v>335.19799999999998</v>
      </c>
      <c r="H245" s="51" t="s">
        <v>109</v>
      </c>
      <c r="I245" s="51" t="s">
        <v>19</v>
      </c>
      <c r="J245" s="52">
        <v>44049</v>
      </c>
      <c r="K245" s="24" t="s">
        <v>404</v>
      </c>
      <c r="L245" s="13" t="s">
        <v>15</v>
      </c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>
      <c r="A246" s="53" t="e">
        <f t="shared" ca="1" si="4"/>
        <v>#NAME?</v>
      </c>
      <c r="B246" s="14">
        <v>369</v>
      </c>
      <c r="C246" s="15" t="s">
        <v>405</v>
      </c>
      <c r="D246" s="16">
        <v>2997</v>
      </c>
      <c r="E246" s="16">
        <v>2990</v>
      </c>
      <c r="F246" s="17">
        <f t="shared" si="5"/>
        <v>2.6256332583959451E-4</v>
      </c>
      <c r="G246" s="18">
        <v>156.65299999999999</v>
      </c>
      <c r="H246" s="19" t="s">
        <v>79</v>
      </c>
      <c r="I246" s="19" t="s">
        <v>45</v>
      </c>
      <c r="J246" s="20">
        <v>43998</v>
      </c>
      <c r="K246" s="21" t="s">
        <v>406</v>
      </c>
      <c r="L246" s="13" t="s">
        <v>21</v>
      </c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>
      <c r="A247" s="6" t="e">
        <f t="shared" ca="1" si="4"/>
        <v>#NAME?</v>
      </c>
      <c r="B247" s="7">
        <v>199</v>
      </c>
      <c r="C247" s="8" t="s">
        <v>407</v>
      </c>
      <c r="D247" s="9">
        <v>7074</v>
      </c>
      <c r="E247" s="9">
        <v>7299</v>
      </c>
      <c r="F247" s="10">
        <f t="shared" si="5"/>
        <v>6.4095308204120422E-4</v>
      </c>
      <c r="G247" s="11">
        <v>1390.6959999999999</v>
      </c>
      <c r="H247" s="12" t="s">
        <v>33</v>
      </c>
      <c r="I247" s="12" t="s">
        <v>14</v>
      </c>
      <c r="L247" s="13" t="s">
        <v>15</v>
      </c>
    </row>
    <row r="248" spans="1:30">
      <c r="A248" s="6" t="e">
        <f t="shared" ca="1" si="4"/>
        <v>#NAME?</v>
      </c>
      <c r="B248" s="46">
        <v>211</v>
      </c>
      <c r="C248" s="47" t="s">
        <v>408</v>
      </c>
      <c r="D248" s="48">
        <v>6908</v>
      </c>
      <c r="E248" s="48">
        <v>6714</v>
      </c>
      <c r="F248" s="49">
        <f t="shared" si="5"/>
        <v>5.8958199655084872E-4</v>
      </c>
      <c r="G248" s="50">
        <v>621.56100000000004</v>
      </c>
      <c r="H248" s="51" t="s">
        <v>79</v>
      </c>
      <c r="I248" s="51" t="s">
        <v>45</v>
      </c>
      <c r="J248" s="52">
        <v>43998</v>
      </c>
      <c r="K248" s="24" t="s">
        <v>409</v>
      </c>
      <c r="L248" s="13" t="s">
        <v>15</v>
      </c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>
      <c r="A249" s="6" t="e">
        <f t="shared" ca="1" si="4"/>
        <v>#NAME?</v>
      </c>
      <c r="B249" s="14">
        <v>401</v>
      </c>
      <c r="C249" s="15" t="s">
        <v>410</v>
      </c>
      <c r="D249" s="16">
        <v>2527</v>
      </c>
      <c r="E249" s="16">
        <v>2680</v>
      </c>
      <c r="F249" s="17">
        <f t="shared" si="5"/>
        <v>2.353410412207737E-4</v>
      </c>
      <c r="G249" s="18">
        <v>82.063000000000002</v>
      </c>
      <c r="H249" s="19" t="s">
        <v>44</v>
      </c>
      <c r="I249" s="19" t="s">
        <v>45</v>
      </c>
      <c r="J249" s="20">
        <v>44025</v>
      </c>
      <c r="K249" s="21" t="s">
        <v>411</v>
      </c>
      <c r="L249" s="13" t="s">
        <v>21</v>
      </c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>
      <c r="A250" s="6" t="e">
        <f t="shared" ca="1" si="4"/>
        <v>#NAME?</v>
      </c>
      <c r="B250" s="46">
        <v>49</v>
      </c>
      <c r="C250" s="47" t="s">
        <v>412</v>
      </c>
      <c r="D250" s="48">
        <v>36383</v>
      </c>
      <c r="E250" s="48">
        <v>44161</v>
      </c>
      <c r="F250" s="49">
        <f t="shared" si="5"/>
        <v>3.8779461646830547E-3</v>
      </c>
      <c r="G250" s="50">
        <v>649.77</v>
      </c>
      <c r="H250" s="51" t="s">
        <v>18</v>
      </c>
      <c r="I250" s="51" t="s">
        <v>19</v>
      </c>
      <c r="J250" s="52">
        <v>44027</v>
      </c>
      <c r="K250" s="24" t="s">
        <v>413</v>
      </c>
      <c r="L250" s="13" t="s">
        <v>15</v>
      </c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>
      <c r="A251" s="6" t="e">
        <f t="shared" ca="1" si="4"/>
        <v>#NAME?</v>
      </c>
      <c r="B251" s="25">
        <v>295</v>
      </c>
      <c r="C251" s="30" t="s">
        <v>414</v>
      </c>
      <c r="D251" s="27">
        <v>5134</v>
      </c>
      <c r="E251" s="27">
        <v>4488</v>
      </c>
      <c r="F251" s="28">
        <f t="shared" si="5"/>
        <v>3.9410843022344492E-4</v>
      </c>
      <c r="G251" s="29">
        <v>229.75899999999999</v>
      </c>
      <c r="H251" s="30" t="s">
        <v>70</v>
      </c>
      <c r="I251" s="30" t="s">
        <v>19</v>
      </c>
      <c r="J251" s="31">
        <v>44390</v>
      </c>
      <c r="K251" s="32" t="s">
        <v>89</v>
      </c>
      <c r="L251" s="13" t="s">
        <v>15</v>
      </c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spans="1:30">
      <c r="A252" s="53" t="e">
        <f t="shared" ca="1" si="4"/>
        <v>#NAME?</v>
      </c>
      <c r="B252" s="14">
        <v>315</v>
      </c>
      <c r="C252" s="15" t="s">
        <v>415</v>
      </c>
      <c r="D252" s="16">
        <v>3768</v>
      </c>
      <c r="E252" s="16">
        <v>3881</v>
      </c>
      <c r="F252" s="17">
        <f t="shared" si="5"/>
        <v>3.408054406633667E-4</v>
      </c>
      <c r="G252" s="18">
        <v>338.45</v>
      </c>
      <c r="H252" s="19" t="s">
        <v>48</v>
      </c>
      <c r="I252" s="19" t="s">
        <v>45</v>
      </c>
      <c r="J252" s="20">
        <v>43987</v>
      </c>
      <c r="K252" s="21" t="s">
        <v>416</v>
      </c>
      <c r="L252" s="13" t="s">
        <v>21</v>
      </c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>
      <c r="A253" s="6" t="e">
        <f t="shared" ca="1" si="4"/>
        <v>#NAME?</v>
      </c>
      <c r="B253" s="25">
        <v>450</v>
      </c>
      <c r="C253" s="30" t="s">
        <v>417</v>
      </c>
      <c r="D253" s="27">
        <v>2210</v>
      </c>
      <c r="E253" s="27">
        <v>2054</v>
      </c>
      <c r="F253" s="28">
        <f t="shared" si="5"/>
        <v>1.8036958905502581E-4</v>
      </c>
      <c r="G253" s="29">
        <v>98.727000000000004</v>
      </c>
      <c r="H253" s="30" t="s">
        <v>70</v>
      </c>
      <c r="I253" s="30" t="s">
        <v>19</v>
      </c>
      <c r="J253" s="31">
        <v>44390</v>
      </c>
      <c r="K253" s="32" t="s">
        <v>418</v>
      </c>
      <c r="L253" s="13" t="s">
        <v>15</v>
      </c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spans="1:30">
      <c r="A254" s="6" t="e">
        <f t="shared" ca="1" si="4"/>
        <v>#NAME?</v>
      </c>
      <c r="B254" s="46">
        <v>311</v>
      </c>
      <c r="C254" s="47" t="s">
        <v>419</v>
      </c>
      <c r="D254" s="48">
        <v>4068</v>
      </c>
      <c r="E254" s="48">
        <v>4024</v>
      </c>
      <c r="F254" s="49">
        <f t="shared" si="5"/>
        <v>3.533628171165647E-4</v>
      </c>
      <c r="G254" s="50">
        <v>125.425</v>
      </c>
      <c r="H254" s="51" t="s">
        <v>73</v>
      </c>
      <c r="I254" s="51" t="s">
        <v>74</v>
      </c>
      <c r="J254" s="52">
        <v>44027</v>
      </c>
      <c r="K254" s="24" t="s">
        <v>420</v>
      </c>
      <c r="L254" s="13" t="s">
        <v>15</v>
      </c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>
      <c r="A255" s="6" t="e">
        <f t="shared" ca="1" si="4"/>
        <v>#NAME?</v>
      </c>
      <c r="B255" s="25">
        <v>269</v>
      </c>
      <c r="C255" s="26" t="s">
        <v>421</v>
      </c>
      <c r="D255" s="27">
        <v>5111</v>
      </c>
      <c r="E255" s="27">
        <v>4864</v>
      </c>
      <c r="F255" s="28">
        <f t="shared" si="5"/>
        <v>4.2712642705143404E-4</v>
      </c>
      <c r="G255" s="29">
        <v>311.88400000000001</v>
      </c>
      <c r="H255" s="30" t="s">
        <v>143</v>
      </c>
      <c r="I255" s="30" t="s">
        <v>25</v>
      </c>
      <c r="J255" s="31">
        <v>45709</v>
      </c>
      <c r="K255" s="32" t="s">
        <v>248</v>
      </c>
      <c r="L255" s="80" t="s">
        <v>15</v>
      </c>
    </row>
    <row r="256" spans="1:30">
      <c r="A256" s="6" t="e">
        <f t="shared" ca="1" si="4"/>
        <v>#NAME?</v>
      </c>
      <c r="B256" s="25">
        <v>414</v>
      </c>
      <c r="C256" s="30" t="s">
        <v>422</v>
      </c>
      <c r="D256" s="27">
        <v>2470</v>
      </c>
      <c r="E256" s="27">
        <v>2538</v>
      </c>
      <c r="F256" s="28">
        <f t="shared" si="5"/>
        <v>2.2287147858892674E-4</v>
      </c>
      <c r="G256" s="29">
        <v>238.268</v>
      </c>
      <c r="H256" s="30" t="s">
        <v>18</v>
      </c>
      <c r="I256" s="30" t="s">
        <v>19</v>
      </c>
      <c r="J256" s="31">
        <v>44389</v>
      </c>
      <c r="K256" s="32" t="s">
        <v>423</v>
      </c>
      <c r="L256" s="13" t="s">
        <v>15</v>
      </c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spans="1:30">
      <c r="A257" s="53" t="e">
        <f t="shared" ca="1" si="4"/>
        <v>#NAME?</v>
      </c>
      <c r="B257" s="71">
        <v>296</v>
      </c>
      <c r="C257" s="72" t="s">
        <v>424</v>
      </c>
      <c r="D257" s="73">
        <v>3869</v>
      </c>
      <c r="E257" s="73">
        <v>4456</v>
      </c>
      <c r="F257" s="74">
        <f t="shared" si="5"/>
        <v>3.9129838794021179E-4</v>
      </c>
      <c r="G257" s="75">
        <v>46.8</v>
      </c>
      <c r="H257" s="76" t="s">
        <v>82</v>
      </c>
      <c r="I257" s="76" t="s">
        <v>74</v>
      </c>
      <c r="J257" s="77">
        <v>44388</v>
      </c>
      <c r="K257" s="78" t="s">
        <v>425</v>
      </c>
      <c r="L257" s="13" t="s">
        <v>21</v>
      </c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</row>
    <row r="258" spans="1:30">
      <c r="A258" s="53" t="e">
        <f t="shared" ca="1" si="4"/>
        <v>#NAME?</v>
      </c>
      <c r="B258" s="14">
        <v>481</v>
      </c>
      <c r="C258" s="19" t="s">
        <v>426</v>
      </c>
      <c r="D258" s="16">
        <v>1799</v>
      </c>
      <c r="E258" s="16">
        <v>1665</v>
      </c>
      <c r="F258" s="17">
        <f t="shared" si="5"/>
        <v>1.462100125494732E-4</v>
      </c>
      <c r="G258" s="18">
        <v>114.65300000000001</v>
      </c>
      <c r="H258" s="19" t="s">
        <v>150</v>
      </c>
      <c r="I258" s="19" t="s">
        <v>19</v>
      </c>
      <c r="J258" s="20">
        <v>44170</v>
      </c>
      <c r="K258" s="21" t="s">
        <v>427</v>
      </c>
      <c r="L258" s="13" t="s">
        <v>21</v>
      </c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>
      <c r="A259" s="6" t="e">
        <f t="shared" ca="1" si="4"/>
        <v>#NAME?</v>
      </c>
      <c r="B259" s="46">
        <v>298</v>
      </c>
      <c r="C259" s="47" t="s">
        <v>428</v>
      </c>
      <c r="D259" s="48">
        <v>4907</v>
      </c>
      <c r="E259" s="48">
        <v>4443</v>
      </c>
      <c r="F259" s="49">
        <f t="shared" si="5"/>
        <v>3.9015680826264834E-4</v>
      </c>
      <c r="G259" s="50">
        <v>208.43899999999999</v>
      </c>
      <c r="H259" s="51" t="s">
        <v>109</v>
      </c>
      <c r="I259" s="51" t="s">
        <v>19</v>
      </c>
      <c r="J259" s="52">
        <v>44049</v>
      </c>
      <c r="K259" s="24" t="s">
        <v>429</v>
      </c>
      <c r="L259" s="13" t="s">
        <v>15</v>
      </c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>
      <c r="A260" s="6" t="e">
        <f t="shared" ca="1" si="4"/>
        <v>#NAME?</v>
      </c>
      <c r="B260" s="7">
        <v>183</v>
      </c>
      <c r="C260" s="8" t="s">
        <v>430</v>
      </c>
      <c r="D260" s="9">
        <v>7631</v>
      </c>
      <c r="E260" s="9">
        <v>8075</v>
      </c>
      <c r="F260" s="10">
        <f t="shared" si="5"/>
        <v>7.090966074096073E-4</v>
      </c>
      <c r="G260" s="11">
        <v>424.339</v>
      </c>
      <c r="H260" s="12" t="s">
        <v>84</v>
      </c>
      <c r="I260" s="12" t="s">
        <v>45</v>
      </c>
      <c r="L260" s="13" t="s">
        <v>15</v>
      </c>
    </row>
    <row r="261" spans="1:30">
      <c r="A261" s="6" t="e">
        <f t="shared" ca="1" si="4"/>
        <v>#NAME?</v>
      </c>
      <c r="B261" s="7">
        <v>274</v>
      </c>
      <c r="C261" s="12" t="s">
        <v>431</v>
      </c>
      <c r="D261" s="9">
        <v>4855</v>
      </c>
      <c r="E261" s="9">
        <v>4824</v>
      </c>
      <c r="F261" s="10">
        <f t="shared" si="5"/>
        <v>4.2361387419739263E-4</v>
      </c>
      <c r="G261" s="11">
        <v>131.68199999999999</v>
      </c>
      <c r="H261" s="12" t="s">
        <v>101</v>
      </c>
      <c r="I261" s="12" t="s">
        <v>19</v>
      </c>
      <c r="L261" s="13" t="s">
        <v>15</v>
      </c>
    </row>
    <row r="262" spans="1:30">
      <c r="A262" s="6" t="e">
        <f t="shared" ca="1" si="4"/>
        <v>#NAME?</v>
      </c>
      <c r="B262" s="46">
        <v>492</v>
      </c>
      <c r="C262" s="47" t="s">
        <v>432</v>
      </c>
      <c r="D262" s="48">
        <v>1542</v>
      </c>
      <c r="E262" s="48">
        <v>1466</v>
      </c>
      <c r="F262" s="49">
        <f t="shared" si="5"/>
        <v>1.2873506210061726E-4</v>
      </c>
      <c r="G262" s="50">
        <v>82.23</v>
      </c>
      <c r="H262" s="51" t="s">
        <v>56</v>
      </c>
      <c r="I262" s="51" t="s">
        <v>57</v>
      </c>
      <c r="J262" s="52">
        <v>44026</v>
      </c>
      <c r="K262" s="24" t="s">
        <v>433</v>
      </c>
      <c r="L262" s="13" t="s">
        <v>15</v>
      </c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>
      <c r="A263" s="6" t="e">
        <f t="shared" ca="1" si="4"/>
        <v>#NAME?</v>
      </c>
      <c r="B263" s="46">
        <v>353</v>
      </c>
      <c r="C263" s="47" t="s">
        <v>434</v>
      </c>
      <c r="D263" s="48">
        <v>3098</v>
      </c>
      <c r="E263" s="48">
        <v>3220</v>
      </c>
      <c r="F263" s="49">
        <f t="shared" si="5"/>
        <v>2.8276050475033258E-4</v>
      </c>
      <c r="G263" s="50">
        <v>549.63900000000001</v>
      </c>
      <c r="H263" s="51" t="s">
        <v>125</v>
      </c>
      <c r="I263" s="51" t="s">
        <v>57</v>
      </c>
      <c r="J263" s="52">
        <v>44016</v>
      </c>
      <c r="K263" s="24" t="s">
        <v>435</v>
      </c>
      <c r="L263" s="13" t="s">
        <v>15</v>
      </c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>
      <c r="A264" s="6" t="e">
        <f t="shared" ca="1" si="4"/>
        <v>#NAME?</v>
      </c>
      <c r="B264" s="46">
        <v>407</v>
      </c>
      <c r="C264" s="47" t="s">
        <v>436</v>
      </c>
      <c r="D264" s="48">
        <v>2670</v>
      </c>
      <c r="E264" s="48">
        <v>2564</v>
      </c>
      <c r="F264" s="49">
        <f t="shared" si="5"/>
        <v>2.2515463794405363E-4</v>
      </c>
      <c r="G264" s="50">
        <v>69.725999999999999</v>
      </c>
      <c r="H264" s="51" t="s">
        <v>62</v>
      </c>
      <c r="I264" s="51" t="s">
        <v>57</v>
      </c>
      <c r="J264" s="52">
        <v>43984</v>
      </c>
      <c r="K264" s="24" t="s">
        <v>437</v>
      </c>
      <c r="L264" s="13" t="s">
        <v>15</v>
      </c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>
      <c r="A265" s="6" t="e">
        <f t="shared" ca="1" si="4"/>
        <v>#NAME?</v>
      </c>
      <c r="B265" s="46">
        <v>35</v>
      </c>
      <c r="C265" s="47" t="s">
        <v>44</v>
      </c>
      <c r="D265" s="48">
        <v>59436</v>
      </c>
      <c r="E265" s="48">
        <v>65264</v>
      </c>
      <c r="F265" s="49">
        <f t="shared" si="5"/>
        <v>5.7310812366539454E-3</v>
      </c>
      <c r="G265" s="50">
        <v>424.846</v>
      </c>
      <c r="H265" s="51" t="s">
        <v>44</v>
      </c>
      <c r="I265" s="51" t="s">
        <v>45</v>
      </c>
      <c r="J265" s="52">
        <v>43977</v>
      </c>
      <c r="K265" s="24" t="s">
        <v>139</v>
      </c>
      <c r="L265" s="13" t="s">
        <v>15</v>
      </c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>
      <c r="A266" s="53" t="e">
        <f t="shared" ca="1" si="4"/>
        <v>#NAME?</v>
      </c>
      <c r="B266" s="71">
        <v>362</v>
      </c>
      <c r="C266" s="72" t="s">
        <v>438</v>
      </c>
      <c r="D266" s="73">
        <v>2749</v>
      </c>
      <c r="E266" s="73">
        <v>3056</v>
      </c>
      <c r="F266" s="74">
        <f t="shared" si="5"/>
        <v>2.6835903804876284E-4</v>
      </c>
      <c r="G266" s="75">
        <v>146.191</v>
      </c>
      <c r="H266" s="76" t="s">
        <v>112</v>
      </c>
      <c r="I266" s="76" t="s">
        <v>19</v>
      </c>
      <c r="J266" s="77">
        <v>44390</v>
      </c>
      <c r="K266" s="78" t="s">
        <v>66</v>
      </c>
      <c r="L266" s="13" t="s">
        <v>21</v>
      </c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</row>
    <row r="267" spans="1:30">
      <c r="A267" s="6" t="e">
        <f t="shared" ca="1" si="4"/>
        <v>#NAME?</v>
      </c>
      <c r="B267" s="46">
        <v>370</v>
      </c>
      <c r="C267" s="47" t="s">
        <v>439</v>
      </c>
      <c r="D267" s="48">
        <v>3185</v>
      </c>
      <c r="E267" s="48">
        <v>2979</v>
      </c>
      <c r="F267" s="49">
        <f t="shared" si="5"/>
        <v>2.6159737380473312E-4</v>
      </c>
      <c r="G267" s="50">
        <v>166.22399999999999</v>
      </c>
      <c r="H267" s="51" t="s">
        <v>79</v>
      </c>
      <c r="I267" s="51" t="s">
        <v>45</v>
      </c>
      <c r="J267" s="52">
        <v>43998</v>
      </c>
      <c r="K267" s="24" t="s">
        <v>440</v>
      </c>
      <c r="L267" s="13" t="s">
        <v>15</v>
      </c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>
      <c r="A268" s="6" t="e">
        <f t="shared" ca="1" si="4"/>
        <v>#NAME?</v>
      </c>
      <c r="B268" s="7">
        <v>220</v>
      </c>
      <c r="C268" s="8" t="s">
        <v>441</v>
      </c>
      <c r="D268" s="9">
        <v>6231</v>
      </c>
      <c r="E268" s="9">
        <v>6568</v>
      </c>
      <c r="F268" s="10">
        <f t="shared" si="5"/>
        <v>5.7676117863359757E-4</v>
      </c>
      <c r="G268" s="11">
        <v>244.64500000000001</v>
      </c>
      <c r="H268" s="12" t="s">
        <v>77</v>
      </c>
      <c r="I268" s="12" t="s">
        <v>51</v>
      </c>
      <c r="L268" s="13" t="s">
        <v>15</v>
      </c>
    </row>
    <row r="269" spans="1:30">
      <c r="A269" s="6" t="e">
        <f t="shared" ca="1" si="4"/>
        <v>#NAME?</v>
      </c>
      <c r="B269" s="46">
        <v>226</v>
      </c>
      <c r="C269" s="47" t="s">
        <v>442</v>
      </c>
      <c r="D269" s="48">
        <v>5680</v>
      </c>
      <c r="E269" s="48">
        <v>6407</v>
      </c>
      <c r="F269" s="49">
        <f t="shared" si="5"/>
        <v>5.6262315339608104E-4</v>
      </c>
      <c r="G269" s="50">
        <v>87.688999999999993</v>
      </c>
      <c r="H269" s="51" t="s">
        <v>170</v>
      </c>
      <c r="I269" s="51" t="s">
        <v>45</v>
      </c>
      <c r="J269" s="52">
        <v>43896</v>
      </c>
      <c r="K269" s="24" t="s">
        <v>353</v>
      </c>
      <c r="L269" s="13" t="s">
        <v>15</v>
      </c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>
      <c r="A270" s="6" t="e">
        <f t="shared" ca="1" si="4"/>
        <v>#NAME?</v>
      </c>
      <c r="B270" s="46">
        <v>140</v>
      </c>
      <c r="C270" s="47" t="s">
        <v>443</v>
      </c>
      <c r="D270" s="48">
        <v>12130</v>
      </c>
      <c r="E270" s="48">
        <v>12804</v>
      </c>
      <c r="F270" s="49">
        <f t="shared" si="5"/>
        <v>1.1243681685786516E-3</v>
      </c>
      <c r="G270" s="50">
        <v>1977.442</v>
      </c>
      <c r="H270" s="51" t="s">
        <v>79</v>
      </c>
      <c r="I270" s="51" t="s">
        <v>45</v>
      </c>
      <c r="J270" s="52">
        <v>43961</v>
      </c>
      <c r="K270" s="24" t="s">
        <v>444</v>
      </c>
      <c r="L270" s="13" t="s">
        <v>15</v>
      </c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>
      <c r="A271" s="53" t="e">
        <f t="shared" ca="1" si="4"/>
        <v>#NAME?</v>
      </c>
      <c r="B271" s="14">
        <v>267</v>
      </c>
      <c r="C271" s="15" t="s">
        <v>445</v>
      </c>
      <c r="D271" s="16">
        <v>4791</v>
      </c>
      <c r="E271" s="16">
        <v>4948</v>
      </c>
      <c r="F271" s="17">
        <f t="shared" si="5"/>
        <v>4.3450278804492101E-4</v>
      </c>
      <c r="G271" s="18">
        <v>111.247</v>
      </c>
      <c r="H271" s="19" t="s">
        <v>73</v>
      </c>
      <c r="I271" s="19" t="s">
        <v>74</v>
      </c>
      <c r="J271" s="20">
        <v>44025</v>
      </c>
      <c r="K271" s="21" t="s">
        <v>446</v>
      </c>
      <c r="L271" s="13" t="s">
        <v>21</v>
      </c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>
      <c r="A272" s="53" t="e">
        <f t="shared" ca="1" si="4"/>
        <v>#NAME?</v>
      </c>
      <c r="B272" s="14">
        <v>357</v>
      </c>
      <c r="C272" s="15" t="s">
        <v>447</v>
      </c>
      <c r="D272" s="16">
        <v>2977</v>
      </c>
      <c r="E272" s="16">
        <v>3151</v>
      </c>
      <c r="F272" s="17">
        <f t="shared" si="5"/>
        <v>2.7670135107711114E-4</v>
      </c>
      <c r="G272" s="18">
        <v>1193.7170000000001</v>
      </c>
      <c r="H272" s="19" t="s">
        <v>125</v>
      </c>
      <c r="I272" s="19" t="s">
        <v>57</v>
      </c>
      <c r="J272" s="20">
        <v>44016</v>
      </c>
      <c r="K272" s="21" t="s">
        <v>20</v>
      </c>
      <c r="L272" s="13" t="s">
        <v>21</v>
      </c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>
      <c r="A273" s="6" t="e">
        <f t="shared" ca="1" si="4"/>
        <v>#NAME?</v>
      </c>
      <c r="B273" s="46">
        <v>467</v>
      </c>
      <c r="C273" s="47" t="s">
        <v>448</v>
      </c>
      <c r="D273" s="48">
        <v>1813</v>
      </c>
      <c r="E273" s="48">
        <v>1888</v>
      </c>
      <c r="F273" s="49">
        <f t="shared" si="5"/>
        <v>1.65792494710754E-4</v>
      </c>
      <c r="G273" s="50">
        <v>111.13200000000001</v>
      </c>
      <c r="H273" s="51" t="s">
        <v>18</v>
      </c>
      <c r="I273" s="51" t="s">
        <v>19</v>
      </c>
      <c r="J273" s="52">
        <v>44020</v>
      </c>
      <c r="K273" s="24" t="s">
        <v>295</v>
      </c>
      <c r="L273" s="13" t="s">
        <v>15</v>
      </c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>
      <c r="A274" s="53" t="e">
        <f t="shared" ca="1" si="4"/>
        <v>#NAME?</v>
      </c>
      <c r="B274" s="14">
        <v>114</v>
      </c>
      <c r="C274" s="19" t="s">
        <v>227</v>
      </c>
      <c r="D274" s="16">
        <v>15938</v>
      </c>
      <c r="E274" s="16">
        <v>17624</v>
      </c>
      <c r="F274" s="17">
        <f t="shared" si="5"/>
        <v>1.5476307874906401E-3</v>
      </c>
      <c r="G274" s="18">
        <v>361.68900000000002</v>
      </c>
      <c r="H274" s="19" t="s">
        <v>227</v>
      </c>
      <c r="I274" s="19" t="s">
        <v>19</v>
      </c>
      <c r="J274" s="20">
        <v>44171</v>
      </c>
      <c r="K274" s="21" t="s">
        <v>117</v>
      </c>
      <c r="L274" s="13" t="s">
        <v>21</v>
      </c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>
      <c r="A275" s="6" t="e">
        <f t="shared" ca="1" si="4"/>
        <v>#NAME?</v>
      </c>
      <c r="B275" s="14">
        <v>478</v>
      </c>
      <c r="C275" s="15" t="s">
        <v>449</v>
      </c>
      <c r="D275" s="16">
        <v>1721</v>
      </c>
      <c r="E275" s="16">
        <v>1689</v>
      </c>
      <c r="F275" s="17">
        <f t="shared" si="5"/>
        <v>1.4831754426189805E-4</v>
      </c>
      <c r="G275" s="18">
        <v>154.995</v>
      </c>
      <c r="H275" s="19" t="s">
        <v>18</v>
      </c>
      <c r="I275" s="19" t="s">
        <v>19</v>
      </c>
      <c r="J275" s="20">
        <v>44027</v>
      </c>
      <c r="K275" s="21" t="s">
        <v>223</v>
      </c>
      <c r="L275" s="13" t="s">
        <v>21</v>
      </c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>
      <c r="A276" s="6" t="e">
        <f t="shared" ca="1" si="4"/>
        <v>#NAME?</v>
      </c>
      <c r="B276" s="7">
        <v>149</v>
      </c>
      <c r="C276" s="8" t="s">
        <v>450</v>
      </c>
      <c r="D276" s="9">
        <v>12076</v>
      </c>
      <c r="E276" s="9">
        <v>11695</v>
      </c>
      <c r="F276" s="10">
        <f t="shared" si="5"/>
        <v>1.026982640700354E-3</v>
      </c>
      <c r="G276" s="11">
        <v>468.96199999999999</v>
      </c>
      <c r="H276" s="12" t="s">
        <v>39</v>
      </c>
      <c r="I276" s="12" t="s">
        <v>19</v>
      </c>
      <c r="J276" s="70">
        <v>46178</v>
      </c>
      <c r="K276" s="34" t="s">
        <v>451</v>
      </c>
      <c r="L276" s="13" t="s">
        <v>15</v>
      </c>
    </row>
    <row r="277" spans="1:30">
      <c r="A277" s="6" t="e">
        <f t="shared" ca="1" si="4"/>
        <v>#NAME?</v>
      </c>
      <c r="B277" s="46">
        <v>330</v>
      </c>
      <c r="C277" s="51" t="s">
        <v>452</v>
      </c>
      <c r="D277" s="48">
        <v>3177</v>
      </c>
      <c r="E277" s="48">
        <v>3586</v>
      </c>
      <c r="F277" s="49">
        <f t="shared" si="5"/>
        <v>3.149003633648114E-4</v>
      </c>
      <c r="G277" s="50">
        <v>148.86099999999999</v>
      </c>
      <c r="H277" s="51" t="s">
        <v>56</v>
      </c>
      <c r="I277" s="51" t="s">
        <v>57</v>
      </c>
      <c r="J277" s="52">
        <v>44026</v>
      </c>
      <c r="K277" s="24" t="s">
        <v>171</v>
      </c>
      <c r="L277" s="13" t="s">
        <v>15</v>
      </c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>
      <c r="A278" s="6" t="e">
        <f t="shared" ca="1" si="4"/>
        <v>#NAME?</v>
      </c>
      <c r="B278" s="46">
        <v>285</v>
      </c>
      <c r="C278" s="47" t="s">
        <v>453</v>
      </c>
      <c r="D278" s="48">
        <v>4003</v>
      </c>
      <c r="E278" s="48">
        <v>4690</v>
      </c>
      <c r="F278" s="49">
        <f t="shared" si="5"/>
        <v>4.1184682213635395E-4</v>
      </c>
      <c r="G278" s="50">
        <v>75.513999999999996</v>
      </c>
      <c r="H278" s="51" t="s">
        <v>56</v>
      </c>
      <c r="I278" s="51" t="s">
        <v>57</v>
      </c>
      <c r="J278" s="52">
        <v>43985</v>
      </c>
      <c r="K278" s="24" t="s">
        <v>454</v>
      </c>
      <c r="L278" s="13" t="s">
        <v>15</v>
      </c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>
      <c r="A279" s="6" t="e">
        <f t="shared" ca="1" si="4"/>
        <v>#NAME?</v>
      </c>
      <c r="B279" s="46">
        <v>168</v>
      </c>
      <c r="C279" s="47" t="s">
        <v>455</v>
      </c>
      <c r="D279" s="48">
        <v>8840</v>
      </c>
      <c r="E279" s="48">
        <v>9916</v>
      </c>
      <c r="F279" s="49">
        <f t="shared" si="5"/>
        <v>8.7076185251686272E-4</v>
      </c>
      <c r="G279" s="50">
        <v>211.61099999999999</v>
      </c>
      <c r="H279" s="51" t="s">
        <v>56</v>
      </c>
      <c r="I279" s="51" t="s">
        <v>57</v>
      </c>
      <c r="J279" s="52">
        <v>43985</v>
      </c>
      <c r="K279" s="24" t="s">
        <v>456</v>
      </c>
      <c r="L279" s="13" t="s">
        <v>15</v>
      </c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>
      <c r="A280" s="6" t="e">
        <f t="shared" ca="1" si="4"/>
        <v>#NAME?</v>
      </c>
      <c r="B280" s="7">
        <v>471</v>
      </c>
      <c r="C280" s="12" t="s">
        <v>457</v>
      </c>
      <c r="D280" s="9">
        <v>1960</v>
      </c>
      <c r="E280" s="9">
        <v>1798</v>
      </c>
      <c r="F280" s="10">
        <f t="shared" si="5"/>
        <v>1.5788925078916085E-4</v>
      </c>
      <c r="G280" s="11">
        <v>93.733000000000004</v>
      </c>
      <c r="H280" s="12" t="s">
        <v>36</v>
      </c>
      <c r="I280" s="12" t="s">
        <v>19</v>
      </c>
      <c r="L280" s="13" t="s">
        <v>15</v>
      </c>
    </row>
    <row r="281" spans="1:30">
      <c r="A281" s="6" t="e">
        <f t="shared" ca="1" si="4"/>
        <v>#NAME?</v>
      </c>
      <c r="B281" s="46">
        <v>347</v>
      </c>
      <c r="C281" s="47" t="s">
        <v>458</v>
      </c>
      <c r="D281" s="48">
        <v>3184</v>
      </c>
      <c r="E281" s="48">
        <v>3321</v>
      </c>
      <c r="F281" s="49">
        <f t="shared" si="5"/>
        <v>2.9162970070678709E-4</v>
      </c>
      <c r="G281" s="50">
        <v>102.994</v>
      </c>
      <c r="H281" s="51" t="s">
        <v>73</v>
      </c>
      <c r="I281" s="51" t="s">
        <v>74</v>
      </c>
      <c r="J281" s="52">
        <v>44051</v>
      </c>
      <c r="K281" s="24" t="s">
        <v>459</v>
      </c>
      <c r="L281" s="13" t="s">
        <v>15</v>
      </c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>
      <c r="A282" s="6" t="e">
        <f t="shared" ca="1" si="4"/>
        <v>#NAME?</v>
      </c>
      <c r="B282" s="7">
        <v>399</v>
      </c>
      <c r="C282" s="8" t="s">
        <v>460</v>
      </c>
      <c r="D282" s="9">
        <v>2751</v>
      </c>
      <c r="E282" s="9">
        <v>2710</v>
      </c>
      <c r="F282" s="10">
        <f t="shared" si="5"/>
        <v>2.3797545586130473E-4</v>
      </c>
      <c r="G282" s="11">
        <v>97.593000000000004</v>
      </c>
      <c r="H282" s="12" t="s">
        <v>101</v>
      </c>
      <c r="I282" s="12" t="s">
        <v>19</v>
      </c>
      <c r="L282" s="13" t="s">
        <v>15</v>
      </c>
    </row>
    <row r="283" spans="1:30">
      <c r="A283" s="6" t="e">
        <f t="shared" ca="1" si="4"/>
        <v>#NAME?</v>
      </c>
      <c r="B283" s="7">
        <v>259</v>
      </c>
      <c r="C283" s="12" t="s">
        <v>461</v>
      </c>
      <c r="D283" s="9">
        <v>4671</v>
      </c>
      <c r="E283" s="9">
        <v>5352</v>
      </c>
      <c r="F283" s="10">
        <f t="shared" si="5"/>
        <v>4.6997957187073911E-4</v>
      </c>
      <c r="G283" s="11">
        <v>191</v>
      </c>
      <c r="H283" s="12" t="s">
        <v>143</v>
      </c>
      <c r="I283" s="12" t="s">
        <v>25</v>
      </c>
      <c r="L283" s="13" t="s">
        <v>15</v>
      </c>
    </row>
    <row r="284" spans="1:30">
      <c r="A284" s="6" t="e">
        <f t="shared" ca="1" si="4"/>
        <v>#NAME?</v>
      </c>
      <c r="B284" s="46">
        <v>102</v>
      </c>
      <c r="C284" s="47" t="s">
        <v>462</v>
      </c>
      <c r="D284" s="48">
        <v>18346</v>
      </c>
      <c r="E284" s="48">
        <v>21615</v>
      </c>
      <c r="F284" s="49">
        <f t="shared" si="5"/>
        <v>1.8980957485026206E-3</v>
      </c>
      <c r="G284" s="50">
        <v>62.185000000000002</v>
      </c>
      <c r="H284" s="51" t="s">
        <v>48</v>
      </c>
      <c r="I284" s="51" t="s">
        <v>45</v>
      </c>
      <c r="J284" s="52">
        <v>43965</v>
      </c>
      <c r="K284" s="24" t="s">
        <v>80</v>
      </c>
      <c r="L284" s="13" t="s">
        <v>15</v>
      </c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>
      <c r="A285" s="6" t="e">
        <f t="shared" ca="1" si="4"/>
        <v>#NAME?</v>
      </c>
      <c r="B285" s="46">
        <v>411</v>
      </c>
      <c r="C285" s="47" t="s">
        <v>463</v>
      </c>
      <c r="D285" s="48">
        <v>2445</v>
      </c>
      <c r="E285" s="48">
        <v>2548</v>
      </c>
      <c r="F285" s="49">
        <f t="shared" si="5"/>
        <v>2.2374961680243709E-4</v>
      </c>
      <c r="G285" s="50">
        <v>102.729</v>
      </c>
      <c r="H285" s="51" t="s">
        <v>62</v>
      </c>
      <c r="I285" s="51" t="s">
        <v>57</v>
      </c>
      <c r="J285" s="52">
        <v>43986</v>
      </c>
      <c r="K285" s="24" t="s">
        <v>464</v>
      </c>
      <c r="L285" s="13" t="s">
        <v>15</v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>
      <c r="A286" s="6" t="e">
        <f t="shared" ca="1" si="4"/>
        <v>#NAME?</v>
      </c>
      <c r="B286" s="7">
        <v>222</v>
      </c>
      <c r="C286" s="12" t="s">
        <v>465</v>
      </c>
      <c r="D286" s="9">
        <v>6345</v>
      </c>
      <c r="E286" s="9">
        <v>6512</v>
      </c>
      <c r="F286" s="10">
        <f t="shared" si="5"/>
        <v>5.718436046379397E-4</v>
      </c>
      <c r="G286" s="11">
        <v>314.613</v>
      </c>
      <c r="H286" s="12" t="s">
        <v>24</v>
      </c>
      <c r="I286" s="12" t="s">
        <v>25</v>
      </c>
      <c r="L286" s="13" t="s">
        <v>15</v>
      </c>
    </row>
    <row r="287" spans="1:30">
      <c r="A287" s="6" t="e">
        <f t="shared" ca="1" si="4"/>
        <v>#NAME?</v>
      </c>
      <c r="B287" s="14">
        <v>104</v>
      </c>
      <c r="C287" s="15" t="s">
        <v>466</v>
      </c>
      <c r="D287" s="16">
        <v>19058</v>
      </c>
      <c r="E287" s="16">
        <v>21353</v>
      </c>
      <c r="F287" s="17">
        <f t="shared" si="5"/>
        <v>1.8750885273086495E-3</v>
      </c>
      <c r="G287" s="18">
        <v>291.291</v>
      </c>
      <c r="H287" s="19" t="s">
        <v>170</v>
      </c>
      <c r="I287" s="19" t="s">
        <v>45</v>
      </c>
      <c r="J287" s="20">
        <v>43884</v>
      </c>
      <c r="K287" s="21" t="s">
        <v>467</v>
      </c>
      <c r="L287" s="13" t="s">
        <v>21</v>
      </c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>
      <c r="A288" s="6" t="e">
        <f t="shared" ca="1" si="4"/>
        <v>#NAME?</v>
      </c>
      <c r="B288" s="46">
        <v>81</v>
      </c>
      <c r="C288" s="47" t="s">
        <v>468</v>
      </c>
      <c r="D288" s="48">
        <v>22830</v>
      </c>
      <c r="E288" s="48">
        <v>27257</v>
      </c>
      <c r="F288" s="49">
        <f t="shared" si="5"/>
        <v>2.3935413285651598E-3</v>
      </c>
      <c r="G288" s="50">
        <v>259.94099999999997</v>
      </c>
      <c r="H288" s="51" t="s">
        <v>56</v>
      </c>
      <c r="I288" s="51" t="s">
        <v>57</v>
      </c>
      <c r="J288" s="52">
        <v>43985</v>
      </c>
      <c r="K288" s="24" t="s">
        <v>89</v>
      </c>
      <c r="L288" s="13" t="s">
        <v>15</v>
      </c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>
      <c r="A289" s="6" t="e">
        <f t="shared" ca="1" si="4"/>
        <v>#NAME?</v>
      </c>
      <c r="B289" s="7">
        <v>435</v>
      </c>
      <c r="C289" s="12" t="s">
        <v>469</v>
      </c>
      <c r="D289" s="9">
        <v>2437</v>
      </c>
      <c r="E289" s="9">
        <v>2268</v>
      </c>
      <c r="F289" s="10">
        <f t="shared" si="5"/>
        <v>1.9916174682414728E-4</v>
      </c>
      <c r="G289" s="11">
        <v>255.26400000000001</v>
      </c>
      <c r="H289" s="12" t="s">
        <v>28</v>
      </c>
      <c r="I289" s="12" t="s">
        <v>19</v>
      </c>
      <c r="L289" s="13" t="s">
        <v>15</v>
      </c>
    </row>
    <row r="290" spans="1:30">
      <c r="A290" s="6" t="e">
        <f t="shared" ca="1" si="4"/>
        <v>#NAME?</v>
      </c>
      <c r="B290" s="46">
        <v>326</v>
      </c>
      <c r="C290" s="51" t="s">
        <v>470</v>
      </c>
      <c r="D290" s="48">
        <v>3347</v>
      </c>
      <c r="E290" s="48">
        <v>3661</v>
      </c>
      <c r="F290" s="49">
        <f t="shared" si="5"/>
        <v>3.2148639996613899E-4</v>
      </c>
      <c r="G290" s="50">
        <v>149.13999999999999</v>
      </c>
      <c r="H290" s="51" t="s">
        <v>62</v>
      </c>
      <c r="I290" s="51" t="s">
        <v>57</v>
      </c>
      <c r="J290" s="52">
        <v>43986</v>
      </c>
      <c r="K290" s="24" t="s">
        <v>471</v>
      </c>
      <c r="L290" s="13" t="s">
        <v>15</v>
      </c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>
      <c r="A291" s="6" t="e">
        <f t="shared" ca="1" si="4"/>
        <v>#NAME?</v>
      </c>
      <c r="B291" s="46">
        <v>77</v>
      </c>
      <c r="C291" s="51" t="s">
        <v>472</v>
      </c>
      <c r="D291" s="48">
        <v>22706</v>
      </c>
      <c r="E291" s="48">
        <v>29300</v>
      </c>
      <c r="F291" s="49">
        <f t="shared" si="5"/>
        <v>2.5729449655853246E-3</v>
      </c>
      <c r="G291" s="50">
        <v>217.86600000000001</v>
      </c>
      <c r="H291" s="51" t="s">
        <v>48</v>
      </c>
      <c r="I291" s="51" t="s">
        <v>45</v>
      </c>
      <c r="J291" s="52">
        <v>43978</v>
      </c>
      <c r="K291" s="24" t="s">
        <v>373</v>
      </c>
      <c r="L291" s="13" t="s">
        <v>15</v>
      </c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>
      <c r="A292" s="6" t="e">
        <f t="shared" ca="1" si="4"/>
        <v>#NAME?</v>
      </c>
      <c r="B292" s="7">
        <v>308</v>
      </c>
      <c r="C292" s="12" t="s">
        <v>473</v>
      </c>
      <c r="D292" s="9">
        <v>3978</v>
      </c>
      <c r="E292" s="9">
        <v>4154</v>
      </c>
      <c r="F292" s="10">
        <f t="shared" si="5"/>
        <v>3.6477861389219924E-4</v>
      </c>
      <c r="G292" s="11">
        <v>123.34399999999999</v>
      </c>
      <c r="H292" s="12" t="s">
        <v>36</v>
      </c>
      <c r="I292" s="12" t="s">
        <v>19</v>
      </c>
      <c r="L292" s="13" t="s">
        <v>15</v>
      </c>
    </row>
    <row r="293" spans="1:30">
      <c r="A293" s="79" t="e">
        <f t="shared" ca="1" si="4"/>
        <v>#NAME?</v>
      </c>
      <c r="B293" s="25">
        <v>307</v>
      </c>
      <c r="C293" s="26" t="s">
        <v>474</v>
      </c>
      <c r="D293" s="27">
        <v>3855</v>
      </c>
      <c r="E293" s="27">
        <v>4169</v>
      </c>
      <c r="F293" s="28">
        <f t="shared" si="5"/>
        <v>3.6609582121246477E-4</v>
      </c>
      <c r="G293" s="29">
        <v>192.99799999999999</v>
      </c>
      <c r="H293" s="30" t="s">
        <v>144</v>
      </c>
      <c r="I293" s="30" t="s">
        <v>74</v>
      </c>
      <c r="J293" s="31">
        <v>44790</v>
      </c>
      <c r="K293" s="32" t="s">
        <v>475</v>
      </c>
      <c r="L293" s="80" t="s">
        <v>15</v>
      </c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spans="1:30">
      <c r="A294" s="6" t="e">
        <f t="shared" ca="1" si="4"/>
        <v>#NAME?</v>
      </c>
      <c r="B294" s="14">
        <v>8</v>
      </c>
      <c r="C294" s="15" t="s">
        <v>476</v>
      </c>
      <c r="D294" s="16">
        <v>239051</v>
      </c>
      <c r="E294" s="16">
        <v>246748</v>
      </c>
      <c r="F294" s="17">
        <f t="shared" si="5"/>
        <v>2.1667884790725175E-2</v>
      </c>
      <c r="G294" s="18">
        <v>223.68299999999999</v>
      </c>
      <c r="H294" s="19" t="s">
        <v>48</v>
      </c>
      <c r="I294" s="19" t="s">
        <v>45</v>
      </c>
      <c r="J294" s="20">
        <v>43882</v>
      </c>
      <c r="K294" s="21" t="s">
        <v>198</v>
      </c>
      <c r="L294" s="13" t="s">
        <v>21</v>
      </c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>
      <c r="A295" s="6" t="e">
        <f t="shared" ca="1" si="4"/>
        <v>#NAME?</v>
      </c>
      <c r="B295" s="7">
        <v>342</v>
      </c>
      <c r="C295" s="12" t="s">
        <v>477</v>
      </c>
      <c r="D295" s="9">
        <v>3927</v>
      </c>
      <c r="E295" s="9">
        <v>3394</v>
      </c>
      <c r="F295" s="10">
        <f t="shared" si="5"/>
        <v>2.9804010966541267E-4</v>
      </c>
      <c r="G295" s="11">
        <v>218.83600000000001</v>
      </c>
      <c r="H295" s="12" t="s">
        <v>31</v>
      </c>
      <c r="I295" s="12" t="s">
        <v>19</v>
      </c>
      <c r="L295" s="13" t="s">
        <v>15</v>
      </c>
    </row>
    <row r="296" spans="1:30">
      <c r="A296" s="6" t="e">
        <f t="shared" ca="1" si="4"/>
        <v>#NAME?</v>
      </c>
      <c r="B296" s="7">
        <v>438</v>
      </c>
      <c r="C296" s="12" t="s">
        <v>478</v>
      </c>
      <c r="D296" s="9">
        <v>2277</v>
      </c>
      <c r="E296" s="9">
        <v>2223</v>
      </c>
      <c r="F296" s="10">
        <f t="shared" si="5"/>
        <v>1.9521012486335072E-4</v>
      </c>
      <c r="G296" s="11">
        <v>75.427999999999997</v>
      </c>
      <c r="H296" s="12" t="s">
        <v>39</v>
      </c>
      <c r="I296" s="12" t="s">
        <v>19</v>
      </c>
      <c r="L296" s="13" t="s">
        <v>15</v>
      </c>
    </row>
    <row r="297" spans="1:30">
      <c r="A297" s="6" t="e">
        <f t="shared" ca="1" si="4"/>
        <v>#NAME?</v>
      </c>
      <c r="B297" s="7">
        <v>475</v>
      </c>
      <c r="C297" s="8" t="s">
        <v>479</v>
      </c>
      <c r="D297" s="9">
        <v>1757</v>
      </c>
      <c r="E297" s="9">
        <v>1727</v>
      </c>
      <c r="F297" s="10">
        <f t="shared" si="5"/>
        <v>1.5165446947323737E-4</v>
      </c>
      <c r="G297" s="11">
        <v>79.850999999999999</v>
      </c>
      <c r="H297" s="12" t="s">
        <v>39</v>
      </c>
      <c r="I297" s="12" t="s">
        <v>19</v>
      </c>
      <c r="L297" s="13" t="s">
        <v>15</v>
      </c>
    </row>
    <row r="298" spans="1:30">
      <c r="A298" s="53" t="e">
        <f t="shared" ca="1" si="4"/>
        <v>#NAME?</v>
      </c>
      <c r="B298" s="14">
        <v>47</v>
      </c>
      <c r="C298" s="15" t="s">
        <v>79</v>
      </c>
      <c r="D298" s="16">
        <v>40941</v>
      </c>
      <c r="E298" s="16">
        <v>45994</v>
      </c>
      <c r="F298" s="17">
        <f t="shared" si="5"/>
        <v>4.0389088992195017E-3</v>
      </c>
      <c r="G298" s="18">
        <v>663.56200000000001</v>
      </c>
      <c r="H298" s="19" t="s">
        <v>79</v>
      </c>
      <c r="I298" s="19" t="s">
        <v>45</v>
      </c>
      <c r="J298" s="20">
        <v>43961</v>
      </c>
      <c r="K298" s="21" t="s">
        <v>68</v>
      </c>
      <c r="L298" s="13" t="s">
        <v>21</v>
      </c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>
      <c r="A299" s="6" t="e">
        <f t="shared" ca="1" si="4"/>
        <v>#NAME?</v>
      </c>
      <c r="B299" s="14">
        <v>316</v>
      </c>
      <c r="C299" s="15" t="s">
        <v>480</v>
      </c>
      <c r="D299" s="16">
        <v>4243</v>
      </c>
      <c r="E299" s="16">
        <v>3880</v>
      </c>
      <c r="F299" s="17">
        <f t="shared" si="5"/>
        <v>3.4071762684201567E-4</v>
      </c>
      <c r="G299" s="18">
        <v>182.11500000000001</v>
      </c>
      <c r="H299" s="19" t="s">
        <v>109</v>
      </c>
      <c r="I299" s="19" t="s">
        <v>19</v>
      </c>
      <c r="J299" s="20">
        <v>44019</v>
      </c>
      <c r="K299" s="21" t="s">
        <v>481</v>
      </c>
      <c r="L299" s="13" t="s">
        <v>21</v>
      </c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>
      <c r="A300" s="6" t="e">
        <f t="shared" ca="1" si="4"/>
        <v>#NAME?</v>
      </c>
      <c r="B300" s="46">
        <v>153</v>
      </c>
      <c r="C300" s="47" t="s">
        <v>482</v>
      </c>
      <c r="D300" s="48">
        <v>10971</v>
      </c>
      <c r="E300" s="48">
        <v>11318</v>
      </c>
      <c r="F300" s="49">
        <f t="shared" si="5"/>
        <v>9.9387683005101369E-4</v>
      </c>
      <c r="G300" s="50">
        <v>949.20100000000002</v>
      </c>
      <c r="H300" s="51" t="s">
        <v>79</v>
      </c>
      <c r="I300" s="51" t="s">
        <v>45</v>
      </c>
      <c r="J300" s="52">
        <v>43961</v>
      </c>
      <c r="K300" s="24" t="s">
        <v>97</v>
      </c>
      <c r="L300" s="13" t="s">
        <v>15</v>
      </c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>
      <c r="A301" s="6" t="e">
        <f t="shared" ca="1" si="4"/>
        <v>#NAME?</v>
      </c>
      <c r="B301" s="7">
        <v>67</v>
      </c>
      <c r="C301" s="8" t="s">
        <v>483</v>
      </c>
      <c r="D301" s="9">
        <v>34328</v>
      </c>
      <c r="E301" s="9">
        <v>33303</v>
      </c>
      <c r="F301" s="10">
        <f t="shared" si="5"/>
        <v>2.9244636924535172E-3</v>
      </c>
      <c r="G301" s="11">
        <v>1421.1010000000001</v>
      </c>
      <c r="H301" s="12" t="s">
        <v>36</v>
      </c>
      <c r="I301" s="12" t="s">
        <v>19</v>
      </c>
      <c r="L301" s="13" t="s">
        <v>15</v>
      </c>
    </row>
    <row r="302" spans="1:30">
      <c r="A302" s="6" t="e">
        <f t="shared" ca="1" si="4"/>
        <v>#NAME?</v>
      </c>
      <c r="B302" s="7">
        <v>202</v>
      </c>
      <c r="C302" s="8" t="s">
        <v>484</v>
      </c>
      <c r="D302" s="9">
        <v>6920</v>
      </c>
      <c r="E302" s="9">
        <v>7057</v>
      </c>
      <c r="F302" s="10">
        <f t="shared" si="5"/>
        <v>6.1970213727425367E-4</v>
      </c>
      <c r="G302" s="11">
        <v>144.18100000000001</v>
      </c>
      <c r="H302" s="12" t="s">
        <v>39</v>
      </c>
      <c r="I302" s="12" t="s">
        <v>19</v>
      </c>
      <c r="L302" s="13" t="s">
        <v>15</v>
      </c>
    </row>
    <row r="303" spans="1:30">
      <c r="A303" s="6" t="e">
        <f t="shared" ca="1" si="4"/>
        <v>#NAME?</v>
      </c>
      <c r="B303" s="46">
        <v>50</v>
      </c>
      <c r="C303" s="47" t="s">
        <v>485</v>
      </c>
      <c r="D303" s="48">
        <v>38068</v>
      </c>
      <c r="E303" s="48">
        <v>43667</v>
      </c>
      <c r="F303" s="49">
        <f t="shared" si="5"/>
        <v>3.8345661369356436E-3</v>
      </c>
      <c r="G303" s="50">
        <v>490.82299999999998</v>
      </c>
      <c r="H303" s="51" t="s">
        <v>28</v>
      </c>
      <c r="I303" s="51" t="s">
        <v>19</v>
      </c>
      <c r="J303" s="52">
        <v>44171</v>
      </c>
      <c r="K303" s="24" t="s">
        <v>139</v>
      </c>
      <c r="L303" s="13" t="s">
        <v>15</v>
      </c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>
      <c r="A304" s="6" t="e">
        <f t="shared" ca="1" si="4"/>
        <v>#NAME?</v>
      </c>
      <c r="B304" s="7">
        <v>172</v>
      </c>
      <c r="C304" s="8" t="s">
        <v>486</v>
      </c>
      <c r="D304" s="9">
        <v>9895</v>
      </c>
      <c r="E304" s="9">
        <v>9174</v>
      </c>
      <c r="F304" s="10">
        <f t="shared" si="5"/>
        <v>8.0560399707439473E-4</v>
      </c>
      <c r="G304" s="11">
        <v>841.22500000000002</v>
      </c>
      <c r="H304" s="12" t="s">
        <v>144</v>
      </c>
      <c r="I304" s="12" t="s">
        <v>74</v>
      </c>
      <c r="L304" s="13" t="s">
        <v>15</v>
      </c>
    </row>
    <row r="305" spans="1:30">
      <c r="A305" s="6" t="e">
        <f t="shared" ca="1" si="4"/>
        <v>#NAME?</v>
      </c>
      <c r="B305" s="46">
        <v>191</v>
      </c>
      <c r="C305" s="47" t="s">
        <v>487</v>
      </c>
      <c r="D305" s="48">
        <v>6812</v>
      </c>
      <c r="E305" s="48">
        <v>7657</v>
      </c>
      <c r="F305" s="49">
        <f t="shared" si="5"/>
        <v>6.7239043008487465E-4</v>
      </c>
      <c r="G305" s="50">
        <v>121.745</v>
      </c>
      <c r="H305" s="51" t="s">
        <v>56</v>
      </c>
      <c r="I305" s="51" t="s">
        <v>57</v>
      </c>
      <c r="J305" s="52">
        <v>43985</v>
      </c>
      <c r="K305" s="24" t="s">
        <v>488</v>
      </c>
      <c r="L305" s="13" t="s">
        <v>15</v>
      </c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>
      <c r="A306" s="79" t="e">
        <f t="shared" ca="1" si="4"/>
        <v>#NAME?</v>
      </c>
      <c r="B306" s="25">
        <v>192</v>
      </c>
      <c r="C306" s="26" t="s">
        <v>489</v>
      </c>
      <c r="D306" s="27">
        <v>7336</v>
      </c>
      <c r="E306" s="27">
        <v>7611</v>
      </c>
      <c r="F306" s="28">
        <f t="shared" si="5"/>
        <v>6.6835099430272713E-4</v>
      </c>
      <c r="G306" s="29">
        <v>337.53399999999999</v>
      </c>
      <c r="H306" s="30" t="s">
        <v>144</v>
      </c>
      <c r="I306" s="30" t="s">
        <v>74</v>
      </c>
      <c r="J306" s="31">
        <v>45532</v>
      </c>
      <c r="K306" s="32" t="s">
        <v>248</v>
      </c>
      <c r="L306" s="80" t="s">
        <v>15</v>
      </c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spans="1:30">
      <c r="A307" s="6" t="e">
        <f t="shared" ca="1" si="4"/>
        <v>#NAME?</v>
      </c>
      <c r="B307" s="46">
        <v>319</v>
      </c>
      <c r="C307" s="51" t="s">
        <v>490</v>
      </c>
      <c r="D307" s="48">
        <v>3511</v>
      </c>
      <c r="E307" s="48">
        <v>3812</v>
      </c>
      <c r="F307" s="49">
        <f t="shared" si="5"/>
        <v>3.3474628699014527E-4</v>
      </c>
      <c r="G307" s="50">
        <v>57.372999999999998</v>
      </c>
      <c r="H307" s="51" t="s">
        <v>44</v>
      </c>
      <c r="I307" s="51" t="s">
        <v>45</v>
      </c>
      <c r="J307" s="52">
        <v>43977</v>
      </c>
      <c r="K307" s="24" t="s">
        <v>97</v>
      </c>
      <c r="L307" s="13" t="s">
        <v>15</v>
      </c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>
      <c r="A308" s="6" t="e">
        <f t="shared" ca="1" si="4"/>
        <v>#NAME?</v>
      </c>
      <c r="B308" s="46">
        <v>40</v>
      </c>
      <c r="C308" s="47" t="s">
        <v>491</v>
      </c>
      <c r="D308" s="48">
        <v>51481</v>
      </c>
      <c r="E308" s="48">
        <v>58272</v>
      </c>
      <c r="F308" s="49">
        <f t="shared" si="5"/>
        <v>5.1170869977675091E-3</v>
      </c>
      <c r="G308" s="50">
        <v>108.667</v>
      </c>
      <c r="H308" s="51" t="s">
        <v>48</v>
      </c>
      <c r="I308" s="51" t="s">
        <v>45</v>
      </c>
      <c r="J308" s="52">
        <v>43965</v>
      </c>
      <c r="K308" s="24" t="s">
        <v>139</v>
      </c>
      <c r="L308" s="13" t="s">
        <v>15</v>
      </c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>
      <c r="A309" s="6" t="e">
        <f t="shared" ca="1" si="4"/>
        <v>#NAME?</v>
      </c>
      <c r="B309" s="7">
        <v>246</v>
      </c>
      <c r="C309" s="8" t="s">
        <v>492</v>
      </c>
      <c r="D309" s="9">
        <v>5159</v>
      </c>
      <c r="E309" s="9">
        <v>5702</v>
      </c>
      <c r="F309" s="10">
        <f t="shared" si="5"/>
        <v>5.0071440934360131E-4</v>
      </c>
      <c r="G309" s="11">
        <v>304.83300000000003</v>
      </c>
      <c r="H309" s="12" t="s">
        <v>82</v>
      </c>
      <c r="I309" s="12" t="s">
        <v>74</v>
      </c>
      <c r="L309" s="13" t="s">
        <v>15</v>
      </c>
    </row>
    <row r="310" spans="1:30">
      <c r="A310" s="79" t="e">
        <f t="shared" ca="1" si="4"/>
        <v>#NAME?</v>
      </c>
      <c r="B310" s="25">
        <v>221</v>
      </c>
      <c r="C310" s="26" t="s">
        <v>493</v>
      </c>
      <c r="D310" s="27">
        <v>6011</v>
      </c>
      <c r="E310" s="27">
        <v>6535</v>
      </c>
      <c r="F310" s="28">
        <f t="shared" si="5"/>
        <v>5.7386332252901346E-4</v>
      </c>
      <c r="G310" s="29">
        <v>265.13299999999998</v>
      </c>
      <c r="H310" s="30" t="s">
        <v>144</v>
      </c>
      <c r="I310" s="30" t="s">
        <v>74</v>
      </c>
      <c r="J310" s="31">
        <v>44790</v>
      </c>
      <c r="K310" s="32" t="s">
        <v>494</v>
      </c>
      <c r="L310" s="80" t="s">
        <v>15</v>
      </c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spans="1:30">
      <c r="A311" s="6" t="e">
        <f t="shared" ca="1" si="4"/>
        <v>#NAME?</v>
      </c>
      <c r="B311" s="25">
        <v>12</v>
      </c>
      <c r="C311" s="26" t="s">
        <v>18</v>
      </c>
      <c r="D311" s="27">
        <v>184826</v>
      </c>
      <c r="E311" s="27">
        <v>203275</v>
      </c>
      <c r="F311" s="28">
        <f t="shared" si="5"/>
        <v>1.7850354535131632E-2</v>
      </c>
      <c r="G311" s="29">
        <v>783.60299999999995</v>
      </c>
      <c r="H311" s="30" t="s">
        <v>18</v>
      </c>
      <c r="I311" s="30" t="s">
        <v>19</v>
      </c>
      <c r="J311" s="31">
        <v>44389</v>
      </c>
      <c r="K311" s="32" t="s">
        <v>495</v>
      </c>
      <c r="L311" s="13" t="s">
        <v>15</v>
      </c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spans="1:30">
      <c r="A312" s="6" t="e">
        <f t="shared" ca="1" si="4"/>
        <v>#NAME?</v>
      </c>
      <c r="B312" s="7">
        <v>434</v>
      </c>
      <c r="C312" s="12" t="s">
        <v>496</v>
      </c>
      <c r="D312" s="9">
        <v>2196</v>
      </c>
      <c r="E312" s="9">
        <v>2287</v>
      </c>
      <c r="F312" s="10">
        <f t="shared" si="5"/>
        <v>2.0083020942981695E-4</v>
      </c>
      <c r="G312" s="11">
        <v>149.71799999999999</v>
      </c>
      <c r="H312" s="12" t="s">
        <v>70</v>
      </c>
      <c r="I312" s="12" t="s">
        <v>19</v>
      </c>
      <c r="J312" s="70">
        <v>46178</v>
      </c>
      <c r="K312" s="34" t="s">
        <v>497</v>
      </c>
      <c r="L312" s="13" t="s">
        <v>15</v>
      </c>
    </row>
    <row r="313" spans="1:30">
      <c r="A313" s="6" t="e">
        <f t="shared" ca="1" si="4"/>
        <v>#NAME?</v>
      </c>
      <c r="B313" s="46">
        <v>177</v>
      </c>
      <c r="C313" s="47" t="s">
        <v>498</v>
      </c>
      <c r="D313" s="48">
        <v>8047</v>
      </c>
      <c r="E313" s="48">
        <v>8487</v>
      </c>
      <c r="F313" s="49">
        <f t="shared" si="5"/>
        <v>7.4527590180623374E-4</v>
      </c>
      <c r="G313" s="50">
        <v>171.863</v>
      </c>
      <c r="H313" s="51" t="s">
        <v>73</v>
      </c>
      <c r="I313" s="51" t="s">
        <v>74</v>
      </c>
      <c r="J313" s="52">
        <v>44169</v>
      </c>
      <c r="K313" s="24" t="s">
        <v>499</v>
      </c>
      <c r="L313" s="13" t="s">
        <v>15</v>
      </c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>
      <c r="A314" s="6" t="e">
        <f t="shared" ca="1" si="4"/>
        <v>#NAME?</v>
      </c>
      <c r="B314" s="7">
        <v>455</v>
      </c>
      <c r="C314" s="8" t="s">
        <v>500</v>
      </c>
      <c r="D314" s="9">
        <v>2218</v>
      </c>
      <c r="E314" s="9">
        <v>2010</v>
      </c>
      <c r="F314" s="10">
        <f t="shared" si="5"/>
        <v>1.7650578091558028E-4</v>
      </c>
      <c r="G314" s="11">
        <v>1373.9849999999999</v>
      </c>
      <c r="H314" s="12" t="s">
        <v>86</v>
      </c>
      <c r="I314" s="12" t="s">
        <v>51</v>
      </c>
      <c r="L314" s="13" t="s">
        <v>15</v>
      </c>
    </row>
    <row r="315" spans="1:30">
      <c r="A315" s="6" t="e">
        <f t="shared" ca="1" si="4"/>
        <v>#NAME?</v>
      </c>
      <c r="B315" s="46">
        <v>188</v>
      </c>
      <c r="C315" s="51" t="s">
        <v>501</v>
      </c>
      <c r="D315" s="48">
        <v>7811</v>
      </c>
      <c r="E315" s="48">
        <v>7730</v>
      </c>
      <c r="F315" s="49">
        <f t="shared" si="5"/>
        <v>6.7880083904350028E-4</v>
      </c>
      <c r="G315" s="50">
        <v>603.75699999999995</v>
      </c>
      <c r="H315" s="51" t="s">
        <v>77</v>
      </c>
      <c r="I315" s="51" t="s">
        <v>51</v>
      </c>
      <c r="J315" s="52">
        <v>43988</v>
      </c>
      <c r="K315" s="24" t="s">
        <v>433</v>
      </c>
      <c r="L315" s="13" t="s">
        <v>15</v>
      </c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>
      <c r="A316" s="6" t="e">
        <f t="shared" ca="1" si="4"/>
        <v>#NAME?</v>
      </c>
      <c r="B316" s="46">
        <v>314</v>
      </c>
      <c r="C316" s="47" t="s">
        <v>502</v>
      </c>
      <c r="D316" s="48">
        <v>3973</v>
      </c>
      <c r="E316" s="48">
        <v>3893</v>
      </c>
      <c r="F316" s="49">
        <f t="shared" si="5"/>
        <v>3.4185920651957907E-4</v>
      </c>
      <c r="G316" s="50">
        <v>414.87200000000001</v>
      </c>
      <c r="H316" s="51" t="s">
        <v>28</v>
      </c>
      <c r="I316" s="51" t="s">
        <v>19</v>
      </c>
      <c r="J316" s="52">
        <v>44171</v>
      </c>
      <c r="K316" s="24" t="s">
        <v>97</v>
      </c>
      <c r="L316" s="13" t="s">
        <v>15</v>
      </c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>
      <c r="A317" s="6" t="e">
        <f t="shared" ca="1" si="4"/>
        <v>#NAME?</v>
      </c>
      <c r="B317" s="46">
        <v>4</v>
      </c>
      <c r="C317" s="47" t="s">
        <v>77</v>
      </c>
      <c r="D317" s="48">
        <v>328275</v>
      </c>
      <c r="E317" s="48">
        <v>342405</v>
      </c>
      <c r="F317" s="49">
        <f t="shared" si="5"/>
        <v>3.0067891499701127E-2</v>
      </c>
      <c r="G317" s="50">
        <v>1609.7080000000001</v>
      </c>
      <c r="H317" s="51" t="s">
        <v>77</v>
      </c>
      <c r="I317" s="51" t="s">
        <v>51</v>
      </c>
      <c r="J317" s="52">
        <v>43961</v>
      </c>
      <c r="K317" s="24" t="s">
        <v>503</v>
      </c>
      <c r="L317" s="13" t="s">
        <v>15</v>
      </c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>
      <c r="A318" s="6" t="e">
        <f t="shared" ca="1" si="4"/>
        <v>#NAME?</v>
      </c>
      <c r="B318" s="46">
        <v>244</v>
      </c>
      <c r="C318" s="47" t="s">
        <v>504</v>
      </c>
      <c r="D318" s="48">
        <v>5182</v>
      </c>
      <c r="E318" s="48">
        <v>5742</v>
      </c>
      <c r="F318" s="49">
        <f t="shared" si="5"/>
        <v>5.0422696219764272E-4</v>
      </c>
      <c r="G318" s="50">
        <v>85.138000000000005</v>
      </c>
      <c r="H318" s="51" t="s">
        <v>170</v>
      </c>
      <c r="I318" s="51" t="s">
        <v>45</v>
      </c>
      <c r="J318" s="52">
        <v>43654</v>
      </c>
      <c r="K318" s="24" t="s">
        <v>505</v>
      </c>
      <c r="L318" s="13" t="s">
        <v>15</v>
      </c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>
      <c r="A319" s="6" t="e">
        <f t="shared" ca="1" si="4"/>
        <v>#NAME?</v>
      </c>
      <c r="B319" s="7">
        <v>406</v>
      </c>
      <c r="C319" s="8" t="s">
        <v>506</v>
      </c>
      <c r="D319" s="9">
        <v>2515</v>
      </c>
      <c r="E319" s="9">
        <v>2577</v>
      </c>
      <c r="F319" s="10">
        <f t="shared" si="5"/>
        <v>2.2629621762161709E-4</v>
      </c>
      <c r="G319" s="11">
        <v>68.221999999999994</v>
      </c>
      <c r="H319" s="12" t="s">
        <v>36</v>
      </c>
      <c r="I319" s="12" t="s">
        <v>19</v>
      </c>
      <c r="J319" s="70">
        <v>46179</v>
      </c>
      <c r="K319" s="34" t="s">
        <v>246</v>
      </c>
      <c r="L319" s="13" t="s">
        <v>15</v>
      </c>
    </row>
    <row r="320" spans="1:30">
      <c r="A320" s="53" t="e">
        <f t="shared" ca="1" si="4"/>
        <v>#NAME?</v>
      </c>
      <c r="B320" s="14">
        <v>463</v>
      </c>
      <c r="C320" s="15" t="s">
        <v>507</v>
      </c>
      <c r="D320" s="16">
        <v>2130</v>
      </c>
      <c r="E320" s="16">
        <v>1965</v>
      </c>
      <c r="F320" s="17">
        <f t="shared" si="5"/>
        <v>1.7255415895478369E-4</v>
      </c>
      <c r="G320" s="18">
        <v>438.11</v>
      </c>
      <c r="H320" s="19" t="s">
        <v>125</v>
      </c>
      <c r="I320" s="19" t="s">
        <v>57</v>
      </c>
      <c r="J320" s="20">
        <v>44016</v>
      </c>
      <c r="K320" s="21" t="s">
        <v>97</v>
      </c>
      <c r="L320" s="13" t="s">
        <v>21</v>
      </c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>
      <c r="A321" s="6" t="e">
        <f t="shared" ca="1" si="4"/>
        <v>#NAME?</v>
      </c>
      <c r="B321" s="7">
        <v>300</v>
      </c>
      <c r="C321" s="8" t="s">
        <v>508</v>
      </c>
      <c r="D321" s="9">
        <v>4471</v>
      </c>
      <c r="E321" s="9">
        <v>4372</v>
      </c>
      <c r="F321" s="10">
        <f t="shared" si="5"/>
        <v>3.8392202694672483E-4</v>
      </c>
      <c r="G321" s="11">
        <v>478.11</v>
      </c>
      <c r="H321" s="12" t="s">
        <v>181</v>
      </c>
      <c r="I321" s="12" t="s">
        <v>25</v>
      </c>
      <c r="L321" s="13" t="s">
        <v>15</v>
      </c>
    </row>
    <row r="322" spans="1:30">
      <c r="A322" s="6" t="e">
        <f t="shared" ca="1" si="4"/>
        <v>#NAME?</v>
      </c>
      <c r="B322" s="7">
        <v>272</v>
      </c>
      <c r="C322" s="12" t="s">
        <v>509</v>
      </c>
      <c r="D322" s="9">
        <v>4503</v>
      </c>
      <c r="E322" s="9">
        <v>4842</v>
      </c>
      <c r="F322" s="10">
        <f t="shared" si="5"/>
        <v>4.2519452298171126E-4</v>
      </c>
      <c r="G322" s="11">
        <v>105.38500000000001</v>
      </c>
      <c r="H322" s="12" t="s">
        <v>39</v>
      </c>
      <c r="I322" s="12" t="s">
        <v>19</v>
      </c>
      <c r="L322" s="13" t="s">
        <v>15</v>
      </c>
    </row>
    <row r="323" spans="1:30">
      <c r="A323" s="6" t="e">
        <f t="shared" ca="1" si="4"/>
        <v>#NAME?</v>
      </c>
      <c r="B323" s="7">
        <v>145</v>
      </c>
      <c r="C323" s="8" t="s">
        <v>510</v>
      </c>
      <c r="D323" s="9">
        <v>12787</v>
      </c>
      <c r="E323" s="9">
        <v>12271</v>
      </c>
      <c r="F323" s="10">
        <f t="shared" si="5"/>
        <v>1.0775634017985501E-3</v>
      </c>
      <c r="G323" s="11">
        <v>2248.221</v>
      </c>
      <c r="H323" s="12" t="s">
        <v>50</v>
      </c>
      <c r="I323" s="12" t="s">
        <v>51</v>
      </c>
      <c r="L323" s="13" t="s">
        <v>15</v>
      </c>
    </row>
    <row r="324" spans="1:30">
      <c r="A324" s="6" t="e">
        <f t="shared" ca="1" si="4"/>
        <v>#NAME?</v>
      </c>
      <c r="B324" s="46">
        <v>372</v>
      </c>
      <c r="C324" s="47" t="s">
        <v>511</v>
      </c>
      <c r="D324" s="82" t="s">
        <v>512</v>
      </c>
      <c r="E324" s="48">
        <v>2968</v>
      </c>
      <c r="F324" s="49">
        <f t="shared" si="5"/>
        <v>2.6063142176987179E-4</v>
      </c>
      <c r="G324" s="50">
        <v>104.821</v>
      </c>
      <c r="H324" s="51" t="s">
        <v>62</v>
      </c>
      <c r="I324" s="51" t="s">
        <v>57</v>
      </c>
      <c r="J324" s="52">
        <v>43986</v>
      </c>
      <c r="K324" s="24" t="s">
        <v>513</v>
      </c>
      <c r="L324" s="13" t="s">
        <v>15</v>
      </c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>
      <c r="A325" s="6" t="e">
        <f t="shared" ca="1" si="4"/>
        <v>#NAME?</v>
      </c>
      <c r="B325" s="7">
        <v>426</v>
      </c>
      <c r="C325" s="12" t="s">
        <v>514</v>
      </c>
      <c r="D325" s="9">
        <v>2757</v>
      </c>
      <c r="E325" s="9">
        <v>2357</v>
      </c>
      <c r="F325" s="10">
        <f t="shared" si="5"/>
        <v>2.069771769243894E-4</v>
      </c>
      <c r="G325" s="11">
        <v>293.72300000000001</v>
      </c>
      <c r="H325" s="12" t="s">
        <v>134</v>
      </c>
      <c r="I325" s="12" t="s">
        <v>19</v>
      </c>
      <c r="L325" s="13" t="s">
        <v>15</v>
      </c>
    </row>
    <row r="326" spans="1:30">
      <c r="A326" s="6" t="e">
        <f t="shared" ca="1" si="4"/>
        <v>#NAME?</v>
      </c>
      <c r="B326" s="7">
        <v>108</v>
      </c>
      <c r="C326" s="12" t="s">
        <v>515</v>
      </c>
      <c r="D326" s="9">
        <v>19831</v>
      </c>
      <c r="E326" s="9">
        <v>20663</v>
      </c>
      <c r="F326" s="10">
        <f t="shared" si="5"/>
        <v>1.8144969905764354E-3</v>
      </c>
      <c r="G326" s="11">
        <v>3537.799</v>
      </c>
      <c r="H326" s="12" t="s">
        <v>50</v>
      </c>
      <c r="I326" s="12" t="s">
        <v>51</v>
      </c>
      <c r="L326" s="13" t="s">
        <v>15</v>
      </c>
    </row>
    <row r="327" spans="1:30">
      <c r="A327" s="6" t="e">
        <f t="shared" ca="1" si="4"/>
        <v>#NAME?</v>
      </c>
      <c r="B327" s="25">
        <v>166</v>
      </c>
      <c r="C327" s="26" t="s">
        <v>516</v>
      </c>
      <c r="D327" s="27">
        <v>10524</v>
      </c>
      <c r="E327" s="27">
        <v>10084</v>
      </c>
      <c r="F327" s="28">
        <f t="shared" si="5"/>
        <v>8.8551457450383655E-4</v>
      </c>
      <c r="G327" s="29">
        <v>228.55199999999999</v>
      </c>
      <c r="H327" s="30" t="s">
        <v>39</v>
      </c>
      <c r="I327" s="30" t="s">
        <v>19</v>
      </c>
      <c r="J327" s="31">
        <v>44845</v>
      </c>
      <c r="K327" s="32" t="s">
        <v>517</v>
      </c>
      <c r="L327" s="13" t="s">
        <v>518</v>
      </c>
    </row>
    <row r="328" spans="1:30">
      <c r="A328" s="53" t="e">
        <f t="shared" ca="1" si="4"/>
        <v>#NAME?</v>
      </c>
      <c r="B328" s="71">
        <v>448</v>
      </c>
      <c r="C328" s="72" t="s">
        <v>519</v>
      </c>
      <c r="D328" s="73">
        <v>2017</v>
      </c>
      <c r="E328" s="73">
        <v>2094</v>
      </c>
      <c r="F328" s="74">
        <f t="shared" si="5"/>
        <v>1.8388214190906722E-4</v>
      </c>
      <c r="G328" s="75">
        <v>67.570999999999998</v>
      </c>
      <c r="H328" s="76" t="s">
        <v>44</v>
      </c>
      <c r="I328" s="76" t="s">
        <v>45</v>
      </c>
      <c r="J328" s="77">
        <v>44025</v>
      </c>
      <c r="K328" s="78" t="s">
        <v>272</v>
      </c>
      <c r="L328" s="13" t="s">
        <v>21</v>
      </c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</row>
    <row r="329" spans="1:30">
      <c r="A329" s="6" t="e">
        <f t="shared" ca="1" si="4"/>
        <v>#NAME?</v>
      </c>
      <c r="B329" s="7">
        <v>313</v>
      </c>
      <c r="C329" s="12" t="s">
        <v>520</v>
      </c>
      <c r="D329" s="9">
        <v>3857</v>
      </c>
      <c r="E329" s="9">
        <v>3908</v>
      </c>
      <c r="F329" s="10">
        <f t="shared" si="5"/>
        <v>3.431764138398446E-4</v>
      </c>
      <c r="G329" s="11">
        <v>503.53800000000001</v>
      </c>
      <c r="H329" s="12" t="s">
        <v>18</v>
      </c>
      <c r="I329" s="12" t="s">
        <v>19</v>
      </c>
      <c r="J329" s="70">
        <v>46180</v>
      </c>
      <c r="K329" s="34" t="s">
        <v>521</v>
      </c>
      <c r="L329" s="13" t="s">
        <v>15</v>
      </c>
    </row>
    <row r="330" spans="1:30">
      <c r="A330" s="6" t="e">
        <f t="shared" ca="1" si="4"/>
        <v>#NAME?</v>
      </c>
      <c r="B330" s="7">
        <v>487</v>
      </c>
      <c r="C330" s="8" t="s">
        <v>522</v>
      </c>
      <c r="D330" s="9">
        <v>1750</v>
      </c>
      <c r="E330" s="9">
        <v>1572</v>
      </c>
      <c r="F330" s="10">
        <f t="shared" si="5"/>
        <v>1.3804332716382695E-4</v>
      </c>
      <c r="G330" s="11">
        <v>99.504000000000005</v>
      </c>
      <c r="H330" s="12" t="s">
        <v>70</v>
      </c>
      <c r="I330" s="12" t="s">
        <v>19</v>
      </c>
      <c r="J330" s="70">
        <v>46178</v>
      </c>
      <c r="K330" s="34" t="s">
        <v>523</v>
      </c>
      <c r="L330" s="13" t="s">
        <v>15</v>
      </c>
    </row>
    <row r="331" spans="1:30">
      <c r="A331" s="53" t="e">
        <f t="shared" ca="1" si="4"/>
        <v>#NAME?</v>
      </c>
      <c r="B331" s="14">
        <v>60</v>
      </c>
      <c r="C331" s="15" t="s">
        <v>524</v>
      </c>
      <c r="D331" s="16">
        <v>30881</v>
      </c>
      <c r="E331" s="16">
        <v>37079</v>
      </c>
      <c r="F331" s="17">
        <f t="shared" si="5"/>
        <v>3.2560486818750253E-3</v>
      </c>
      <c r="G331" s="18">
        <v>160.386</v>
      </c>
      <c r="H331" s="19" t="s">
        <v>44</v>
      </c>
      <c r="I331" s="19" t="s">
        <v>45</v>
      </c>
      <c r="J331" s="20">
        <v>43977</v>
      </c>
      <c r="K331" s="21" t="s">
        <v>139</v>
      </c>
      <c r="L331" s="13" t="s">
        <v>21</v>
      </c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>
      <c r="A332" s="6" t="e">
        <f t="shared" ca="1" si="4"/>
        <v>#NAME?</v>
      </c>
      <c r="B332" s="46">
        <v>1</v>
      </c>
      <c r="C332" s="47" t="s">
        <v>48</v>
      </c>
      <c r="D332" s="48">
        <v>1450555</v>
      </c>
      <c r="E332" s="48">
        <v>1483771</v>
      </c>
      <c r="F332" s="49">
        <f t="shared" si="5"/>
        <v>0.13029560151984648</v>
      </c>
      <c r="G332" s="50">
        <v>495.39</v>
      </c>
      <c r="H332" s="51" t="s">
        <v>48</v>
      </c>
      <c r="I332" s="51" t="s">
        <v>45</v>
      </c>
      <c r="J332" s="52">
        <v>43954</v>
      </c>
      <c r="K332" s="24" t="s">
        <v>525</v>
      </c>
      <c r="L332" s="13" t="s">
        <v>15</v>
      </c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>
      <c r="A333" s="6" t="e">
        <f t="shared" ca="1" si="4"/>
        <v>#NAME?</v>
      </c>
      <c r="B333" s="7">
        <v>280</v>
      </c>
      <c r="C333" s="8" t="s">
        <v>526</v>
      </c>
      <c r="D333" s="9">
        <v>5421</v>
      </c>
      <c r="E333" s="9">
        <v>4765</v>
      </c>
      <c r="F333" s="10">
        <f t="shared" si="5"/>
        <v>4.184328587376816E-4</v>
      </c>
      <c r="G333" s="11">
        <v>250.876</v>
      </c>
      <c r="H333" s="12" t="s">
        <v>31</v>
      </c>
      <c r="I333" s="12" t="s">
        <v>19</v>
      </c>
      <c r="L333" s="13" t="s">
        <v>15</v>
      </c>
    </row>
    <row r="334" spans="1:30">
      <c r="A334" s="6" t="e">
        <f t="shared" ca="1" si="4"/>
        <v>#NAME?</v>
      </c>
      <c r="B334" s="7">
        <v>423</v>
      </c>
      <c r="C334" s="8" t="s">
        <v>527</v>
      </c>
      <c r="D334" s="9">
        <v>2544</v>
      </c>
      <c r="E334" s="9">
        <v>2397</v>
      </c>
      <c r="F334" s="10">
        <f t="shared" si="5"/>
        <v>2.1048972977843081E-4</v>
      </c>
      <c r="G334" s="11">
        <v>105.81100000000001</v>
      </c>
      <c r="H334" s="12" t="s">
        <v>31</v>
      </c>
      <c r="I334" s="12" t="s">
        <v>19</v>
      </c>
      <c r="L334" s="13" t="s">
        <v>15</v>
      </c>
    </row>
    <row r="335" spans="1:30">
      <c r="A335" s="6" t="e">
        <f t="shared" ca="1" si="4"/>
        <v>#NAME?</v>
      </c>
      <c r="B335" s="7">
        <v>493</v>
      </c>
      <c r="C335" s="8" t="s">
        <v>528</v>
      </c>
      <c r="D335" s="9">
        <v>1852</v>
      </c>
      <c r="E335" s="9">
        <v>1415</v>
      </c>
      <c r="F335" s="10">
        <f t="shared" si="5"/>
        <v>1.2425655721171446E-4</v>
      </c>
      <c r="G335" s="11">
        <v>114.28400000000001</v>
      </c>
      <c r="H335" s="12" t="s">
        <v>31</v>
      </c>
      <c r="I335" s="12" t="s">
        <v>19</v>
      </c>
      <c r="L335" s="13" t="s">
        <v>15</v>
      </c>
    </row>
    <row r="336" spans="1:30">
      <c r="A336" s="6" t="e">
        <f t="shared" ca="1" si="4"/>
        <v>#NAME?</v>
      </c>
      <c r="B336" s="7">
        <v>163</v>
      </c>
      <c r="C336" s="8" t="s">
        <v>529</v>
      </c>
      <c r="D336" s="9">
        <v>10560</v>
      </c>
      <c r="E336" s="9">
        <v>10246</v>
      </c>
      <c r="F336" s="10">
        <f t="shared" si="5"/>
        <v>8.9974041356270416E-4</v>
      </c>
      <c r="G336" s="11">
        <v>281.49700000000001</v>
      </c>
      <c r="H336" s="12" t="s">
        <v>150</v>
      </c>
      <c r="I336" s="12" t="s">
        <v>19</v>
      </c>
      <c r="L336" s="13" t="s">
        <v>15</v>
      </c>
    </row>
    <row r="337" spans="1:30">
      <c r="A337" s="6" t="e">
        <f t="shared" ca="1" si="4"/>
        <v>#NAME?</v>
      </c>
      <c r="B337" s="25">
        <v>480</v>
      </c>
      <c r="C337" s="30" t="s">
        <v>530</v>
      </c>
      <c r="D337" s="27">
        <v>1875</v>
      </c>
      <c r="E337" s="27">
        <v>1668</v>
      </c>
      <c r="F337" s="28">
        <f t="shared" si="5"/>
        <v>1.4647345401352631E-4</v>
      </c>
      <c r="G337" s="29">
        <v>105.358</v>
      </c>
      <c r="H337" s="30" t="s">
        <v>73</v>
      </c>
      <c r="I337" s="30" t="s">
        <v>74</v>
      </c>
      <c r="J337" s="31">
        <v>44027</v>
      </c>
      <c r="K337" s="32" t="s">
        <v>531</v>
      </c>
      <c r="L337" s="13" t="s">
        <v>15</v>
      </c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spans="1:30">
      <c r="A338" s="6" t="e">
        <f t="shared" ca="1" si="4"/>
        <v>#NAME?</v>
      </c>
      <c r="B338" s="46">
        <v>380</v>
      </c>
      <c r="C338" s="47" t="s">
        <v>532</v>
      </c>
      <c r="D338" s="48">
        <v>2485</v>
      </c>
      <c r="E338" s="48">
        <v>2863</v>
      </c>
      <c r="F338" s="49">
        <f t="shared" si="5"/>
        <v>2.5141097052801308E-4</v>
      </c>
      <c r="G338" s="50">
        <v>49.628</v>
      </c>
      <c r="H338" s="51" t="s">
        <v>170</v>
      </c>
      <c r="I338" s="51" t="s">
        <v>45</v>
      </c>
      <c r="J338" s="52">
        <v>43887</v>
      </c>
      <c r="K338" s="24" t="s">
        <v>533</v>
      </c>
      <c r="L338" s="13" t="s">
        <v>15</v>
      </c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>
      <c r="A339" s="6" t="e">
        <f t="shared" ca="1" si="4"/>
        <v>#NAME?</v>
      </c>
      <c r="B339" s="25">
        <v>230</v>
      </c>
      <c r="C339" s="30" t="s">
        <v>534</v>
      </c>
      <c r="D339" s="27">
        <v>6161</v>
      </c>
      <c r="E339" s="27">
        <v>6244</v>
      </c>
      <c r="F339" s="28">
        <f t="shared" si="5"/>
        <v>5.4830950051586234E-4</v>
      </c>
      <c r="G339" s="29">
        <v>256.03899999999999</v>
      </c>
      <c r="H339" s="30" t="s">
        <v>73</v>
      </c>
      <c r="I339" s="30" t="s">
        <v>74</v>
      </c>
      <c r="J339" s="31">
        <v>44389</v>
      </c>
      <c r="K339" s="32" t="s">
        <v>535</v>
      </c>
      <c r="L339" s="13" t="s">
        <v>15</v>
      </c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spans="1:30">
      <c r="A340" s="6" t="e">
        <f t="shared" ca="1" si="4"/>
        <v>#NAME?</v>
      </c>
      <c r="B340" s="46">
        <v>464</v>
      </c>
      <c r="C340" s="47" t="s">
        <v>536</v>
      </c>
      <c r="D340" s="48">
        <v>2000</v>
      </c>
      <c r="E340" s="48">
        <v>1957</v>
      </c>
      <c r="F340" s="49">
        <f t="shared" si="5"/>
        <v>1.7185164838397541E-4</v>
      </c>
      <c r="G340" s="50">
        <v>171.97300000000001</v>
      </c>
      <c r="H340" s="51" t="s">
        <v>56</v>
      </c>
      <c r="I340" s="51" t="s">
        <v>57</v>
      </c>
      <c r="J340" s="52">
        <v>44015</v>
      </c>
      <c r="K340" s="24" t="s">
        <v>499</v>
      </c>
      <c r="L340" s="13" t="s">
        <v>15</v>
      </c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>
      <c r="A341" s="6" t="e">
        <f t="shared" ca="1" si="4"/>
        <v>#NAME?</v>
      </c>
      <c r="B341" s="46">
        <v>312</v>
      </c>
      <c r="C341" s="47" t="s">
        <v>537</v>
      </c>
      <c r="D341" s="48">
        <v>4147</v>
      </c>
      <c r="E341" s="48">
        <v>3951</v>
      </c>
      <c r="F341" s="49">
        <f t="shared" si="5"/>
        <v>3.4695240815793912E-4</v>
      </c>
      <c r="G341" s="50">
        <v>205.11699999999999</v>
      </c>
      <c r="H341" s="51" t="s">
        <v>56</v>
      </c>
      <c r="I341" s="51" t="s">
        <v>57</v>
      </c>
      <c r="J341" s="52">
        <v>44051</v>
      </c>
      <c r="K341" s="24" t="s">
        <v>115</v>
      </c>
      <c r="L341" s="13" t="s">
        <v>15</v>
      </c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>
      <c r="A342" s="6" t="e">
        <f t="shared" ca="1" si="4"/>
        <v>#NAME?</v>
      </c>
      <c r="B342" s="7">
        <v>100</v>
      </c>
      <c r="C342" s="8" t="s">
        <v>538</v>
      </c>
      <c r="D342" s="9">
        <v>23021</v>
      </c>
      <c r="E342" s="9">
        <v>22687</v>
      </c>
      <c r="F342" s="10">
        <f t="shared" si="5"/>
        <v>1.9922321649909302E-3</v>
      </c>
      <c r="G342" s="11">
        <v>3139.9949999999999</v>
      </c>
      <c r="H342" s="12" t="s">
        <v>33</v>
      </c>
      <c r="I342" s="12" t="s">
        <v>14</v>
      </c>
      <c r="L342" s="13" t="s">
        <v>15</v>
      </c>
    </row>
    <row r="343" spans="1:30">
      <c r="A343" s="6" t="e">
        <f t="shared" ca="1" si="4"/>
        <v>#NAME?</v>
      </c>
      <c r="B343" s="7">
        <v>469</v>
      </c>
      <c r="C343" s="8" t="s">
        <v>539</v>
      </c>
      <c r="D343" s="9">
        <v>1778</v>
      </c>
      <c r="E343" s="9">
        <v>1846</v>
      </c>
      <c r="F343" s="10">
        <f t="shared" si="5"/>
        <v>1.6210431421401054E-4</v>
      </c>
      <c r="G343" s="11">
        <v>268.58300000000003</v>
      </c>
      <c r="H343" s="12" t="s">
        <v>70</v>
      </c>
      <c r="I343" s="12" t="s">
        <v>19</v>
      </c>
      <c r="J343" s="70">
        <v>46178</v>
      </c>
      <c r="K343" s="34" t="s">
        <v>37</v>
      </c>
      <c r="L343" s="13" t="s">
        <v>15</v>
      </c>
    </row>
    <row r="344" spans="1:30">
      <c r="A344" s="6" t="e">
        <f t="shared" ca="1" si="4"/>
        <v>#NAME?</v>
      </c>
      <c r="B344" s="7">
        <v>389</v>
      </c>
      <c r="C344" s="8" t="s">
        <v>540</v>
      </c>
      <c r="D344" s="9">
        <v>2710</v>
      </c>
      <c r="E344" s="9">
        <v>2786</v>
      </c>
      <c r="F344" s="10">
        <f t="shared" si="5"/>
        <v>2.4464930628398341E-4</v>
      </c>
      <c r="G344" s="11">
        <v>543.35900000000004</v>
      </c>
      <c r="H344" s="12" t="s">
        <v>181</v>
      </c>
      <c r="I344" s="12" t="s">
        <v>25</v>
      </c>
      <c r="L344" s="13" t="s">
        <v>15</v>
      </c>
    </row>
    <row r="345" spans="1:30">
      <c r="A345" s="6" t="e">
        <f t="shared" ca="1" si="4"/>
        <v>#NAME?</v>
      </c>
      <c r="B345" s="7">
        <v>321</v>
      </c>
      <c r="C345" s="8" t="s">
        <v>541</v>
      </c>
      <c r="D345" s="9">
        <v>3653</v>
      </c>
      <c r="E345" s="9">
        <v>3789</v>
      </c>
      <c r="F345" s="10">
        <f t="shared" si="5"/>
        <v>3.3272656909907146E-4</v>
      </c>
      <c r="G345" s="11">
        <v>223.072</v>
      </c>
      <c r="H345" s="12" t="s">
        <v>42</v>
      </c>
      <c r="I345" s="12" t="s">
        <v>19</v>
      </c>
      <c r="L345" s="13" t="s">
        <v>15</v>
      </c>
    </row>
    <row r="346" spans="1:30">
      <c r="A346" s="6" t="e">
        <f t="shared" ca="1" si="4"/>
        <v>#NAME?</v>
      </c>
      <c r="B346" s="7">
        <v>150</v>
      </c>
      <c r="C346" s="8" t="s">
        <v>542</v>
      </c>
      <c r="D346" s="9">
        <v>10222</v>
      </c>
      <c r="E346" s="9">
        <v>11549</v>
      </c>
      <c r="F346" s="10">
        <f t="shared" si="5"/>
        <v>1.0141618227831027E-3</v>
      </c>
      <c r="G346" s="11">
        <v>303.69400000000002</v>
      </c>
      <c r="H346" s="12" t="s">
        <v>101</v>
      </c>
      <c r="I346" s="12" t="s">
        <v>19</v>
      </c>
      <c r="L346" s="13" t="s">
        <v>15</v>
      </c>
    </row>
    <row r="347" spans="1:30">
      <c r="A347" s="6" t="e">
        <f t="shared" ca="1" si="4"/>
        <v>#NAME?</v>
      </c>
      <c r="B347" s="14">
        <v>447</v>
      </c>
      <c r="C347" s="15" t="s">
        <v>543</v>
      </c>
      <c r="D347" s="16">
        <v>2155</v>
      </c>
      <c r="E347" s="16">
        <v>2101</v>
      </c>
      <c r="F347" s="17">
        <f t="shared" si="5"/>
        <v>1.8449683865852444E-4</v>
      </c>
      <c r="G347" s="18">
        <v>123.35299999999999</v>
      </c>
      <c r="H347" s="19" t="s">
        <v>73</v>
      </c>
      <c r="I347" s="19" t="s">
        <v>74</v>
      </c>
      <c r="J347" s="20">
        <v>44051</v>
      </c>
      <c r="K347" s="21" t="s">
        <v>295</v>
      </c>
      <c r="L347" s="13" t="s">
        <v>21</v>
      </c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>
      <c r="A348" s="6" t="e">
        <f t="shared" ca="1" si="4"/>
        <v>#NAME?</v>
      </c>
      <c r="B348" s="7">
        <v>124</v>
      </c>
      <c r="C348" s="8" t="s">
        <v>24</v>
      </c>
      <c r="D348" s="9">
        <v>15850</v>
      </c>
      <c r="E348" s="9">
        <v>15789</v>
      </c>
      <c r="F348" s="10">
        <f t="shared" si="5"/>
        <v>1.3864924253114909E-3</v>
      </c>
      <c r="G348" s="11">
        <v>968.62</v>
      </c>
      <c r="H348" s="12" t="s">
        <v>24</v>
      </c>
      <c r="I348" s="12" t="s">
        <v>25</v>
      </c>
      <c r="L348" s="13" t="s">
        <v>15</v>
      </c>
    </row>
    <row r="349" spans="1:30">
      <c r="A349" s="6" t="e">
        <f t="shared" ca="1" si="4"/>
        <v>#NAME?</v>
      </c>
      <c r="B349" s="7">
        <v>383</v>
      </c>
      <c r="C349" s="12" t="s">
        <v>544</v>
      </c>
      <c r="D349" s="9">
        <v>3616</v>
      </c>
      <c r="E349" s="9">
        <v>2849</v>
      </c>
      <c r="F349" s="10">
        <f t="shared" si="5"/>
        <v>2.5018157702909858E-4</v>
      </c>
      <c r="G349" s="11">
        <v>235.85400000000001</v>
      </c>
      <c r="H349" s="12" t="s">
        <v>39</v>
      </c>
      <c r="I349" s="12" t="s">
        <v>19</v>
      </c>
      <c r="J349" s="70">
        <v>46178</v>
      </c>
      <c r="K349" s="34" t="s">
        <v>248</v>
      </c>
      <c r="L349" s="13" t="s">
        <v>15</v>
      </c>
    </row>
    <row r="350" spans="1:30">
      <c r="A350" s="6" t="e">
        <f t="shared" ca="1" si="4"/>
        <v>#NAME?</v>
      </c>
      <c r="B350" s="46">
        <v>10</v>
      </c>
      <c r="C350" s="47" t="s">
        <v>545</v>
      </c>
      <c r="D350" s="48">
        <v>197253</v>
      </c>
      <c r="E350" s="48">
        <v>211005</v>
      </c>
      <c r="F350" s="49">
        <f t="shared" si="5"/>
        <v>1.852915537417513E-2</v>
      </c>
      <c r="G350" s="50">
        <v>2709.3910000000001</v>
      </c>
      <c r="H350" s="51" t="s">
        <v>217</v>
      </c>
      <c r="I350" s="51" t="s">
        <v>51</v>
      </c>
      <c r="J350" s="52">
        <v>43961</v>
      </c>
      <c r="K350" s="24" t="s">
        <v>329</v>
      </c>
      <c r="L350" s="13" t="s">
        <v>15</v>
      </c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>
      <c r="A351" s="6" t="e">
        <f t="shared" ca="1" si="4"/>
        <v>#NAME?</v>
      </c>
      <c r="B351" s="7">
        <v>58</v>
      </c>
      <c r="C351" s="8" t="s">
        <v>546</v>
      </c>
      <c r="D351" s="9">
        <v>37602</v>
      </c>
      <c r="E351" s="9">
        <v>38275</v>
      </c>
      <c r="F351" s="10">
        <f t="shared" si="5"/>
        <v>3.3610740122108633E-3</v>
      </c>
      <c r="G351" s="11">
        <v>2051.1120000000001</v>
      </c>
      <c r="H351" s="12" t="s">
        <v>144</v>
      </c>
      <c r="I351" s="12" t="s">
        <v>74</v>
      </c>
      <c r="L351" s="13" t="s">
        <v>15</v>
      </c>
    </row>
    <row r="352" spans="1:30">
      <c r="A352" s="6" t="e">
        <f t="shared" ca="1" si="4"/>
        <v>#NAME?</v>
      </c>
      <c r="B352" s="46">
        <v>290</v>
      </c>
      <c r="C352" s="47" t="s">
        <v>547</v>
      </c>
      <c r="D352" s="48">
        <v>4327</v>
      </c>
      <c r="E352" s="48">
        <v>4629</v>
      </c>
      <c r="F352" s="49">
        <f t="shared" si="5"/>
        <v>4.0649017903394085E-4</v>
      </c>
      <c r="G352" s="50">
        <v>239.559</v>
      </c>
      <c r="H352" s="51" t="s">
        <v>170</v>
      </c>
      <c r="I352" s="51" t="s">
        <v>45</v>
      </c>
      <c r="J352" s="52">
        <v>43980</v>
      </c>
      <c r="K352" s="24" t="s">
        <v>416</v>
      </c>
      <c r="L352" s="13" t="s">
        <v>15</v>
      </c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>
      <c r="A353" s="6" t="e">
        <f t="shared" ca="1" si="4"/>
        <v>#NAME?</v>
      </c>
      <c r="B353" s="46">
        <v>151</v>
      </c>
      <c r="C353" s="51" t="s">
        <v>548</v>
      </c>
      <c r="D353" s="48">
        <v>10228</v>
      </c>
      <c r="E353" s="48">
        <v>11393</v>
      </c>
      <c r="F353" s="49">
        <f t="shared" si="5"/>
        <v>1.0004628666523414E-3</v>
      </c>
      <c r="G353" s="50">
        <v>208.62899999999999</v>
      </c>
      <c r="H353" s="51" t="s">
        <v>73</v>
      </c>
      <c r="I353" s="51" t="s">
        <v>74</v>
      </c>
      <c r="J353" s="52">
        <v>44025</v>
      </c>
      <c r="K353" s="24" t="s">
        <v>433</v>
      </c>
      <c r="L353" s="13" t="s">
        <v>15</v>
      </c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>
      <c r="A354" s="6" t="e">
        <f t="shared" ca="1" si="4"/>
        <v>#NAME?</v>
      </c>
      <c r="B354" s="7">
        <v>241</v>
      </c>
      <c r="C354" s="8" t="s">
        <v>549</v>
      </c>
      <c r="D354" s="9">
        <v>5743</v>
      </c>
      <c r="E354" s="9">
        <v>5867</v>
      </c>
      <c r="F354" s="10">
        <f t="shared" si="5"/>
        <v>5.1520368986652208E-4</v>
      </c>
      <c r="G354" s="11">
        <v>83.278000000000006</v>
      </c>
      <c r="H354" s="12" t="s">
        <v>39</v>
      </c>
      <c r="I354" s="12" t="s">
        <v>19</v>
      </c>
      <c r="J354" s="70">
        <v>46179</v>
      </c>
      <c r="K354" s="34" t="s">
        <v>523</v>
      </c>
      <c r="L354" s="13" t="s">
        <v>15</v>
      </c>
    </row>
    <row r="355" spans="1:30">
      <c r="A355" s="6" t="e">
        <f t="shared" ca="1" si="4"/>
        <v>#NAME?</v>
      </c>
      <c r="B355" s="46">
        <v>428</v>
      </c>
      <c r="C355" s="47" t="s">
        <v>550</v>
      </c>
      <c r="D355" s="48">
        <v>2546</v>
      </c>
      <c r="E355" s="48">
        <v>2352</v>
      </c>
      <c r="F355" s="49">
        <f t="shared" si="5"/>
        <v>2.0653810781763422E-4</v>
      </c>
      <c r="G355" s="50">
        <v>295.32600000000002</v>
      </c>
      <c r="H355" s="51" t="s">
        <v>134</v>
      </c>
      <c r="I355" s="51" t="s">
        <v>19</v>
      </c>
      <c r="J355" s="52">
        <v>44170</v>
      </c>
      <c r="K355" s="24" t="s">
        <v>551</v>
      </c>
      <c r="L355" s="13" t="s">
        <v>15</v>
      </c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>
      <c r="A356" s="6" t="e">
        <f t="shared" ca="1" si="4"/>
        <v>#NAME?</v>
      </c>
      <c r="B356" s="14">
        <v>105</v>
      </c>
      <c r="C356" s="15" t="s">
        <v>552</v>
      </c>
      <c r="D356" s="16">
        <v>19493</v>
      </c>
      <c r="E356" s="16">
        <v>21349</v>
      </c>
      <c r="F356" s="17">
        <f t="shared" si="5"/>
        <v>1.8747372720232453E-3</v>
      </c>
      <c r="G356" s="18">
        <v>295.637</v>
      </c>
      <c r="H356" s="19" t="s">
        <v>170</v>
      </c>
      <c r="I356" s="19" t="s">
        <v>45</v>
      </c>
      <c r="J356" s="20">
        <v>43953</v>
      </c>
      <c r="K356" s="21" t="s">
        <v>553</v>
      </c>
      <c r="L356" s="13" t="s">
        <v>21</v>
      </c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>
      <c r="A357" s="6" t="e">
        <f t="shared" ca="1" si="4"/>
        <v>#NAME?</v>
      </c>
      <c r="B357" s="7">
        <v>159</v>
      </c>
      <c r="C357" s="8" t="s">
        <v>554</v>
      </c>
      <c r="D357" s="9">
        <v>10228</v>
      </c>
      <c r="E357" s="9">
        <v>10601</v>
      </c>
      <c r="F357" s="10">
        <f t="shared" si="5"/>
        <v>9.3091432014232164E-4</v>
      </c>
      <c r="G357" s="11">
        <v>419.34399999999999</v>
      </c>
      <c r="H357" s="12" t="s">
        <v>18</v>
      </c>
      <c r="I357" s="12" t="s">
        <v>19</v>
      </c>
      <c r="J357" s="70">
        <v>46180</v>
      </c>
      <c r="K357" s="34" t="s">
        <v>555</v>
      </c>
      <c r="L357" s="13" t="s">
        <v>15</v>
      </c>
    </row>
    <row r="358" spans="1:30">
      <c r="A358" s="6" t="e">
        <f t="shared" ca="1" si="4"/>
        <v>#NAME?</v>
      </c>
      <c r="B358" s="7">
        <v>263</v>
      </c>
      <c r="C358" s="12" t="s">
        <v>556</v>
      </c>
      <c r="D358" s="9">
        <v>5520</v>
      </c>
      <c r="E358" s="9">
        <v>5130</v>
      </c>
      <c r="F358" s="10">
        <f t="shared" si="5"/>
        <v>4.5048490353080933E-4</v>
      </c>
      <c r="G358" s="11">
        <v>252.45400000000001</v>
      </c>
      <c r="H358" s="12" t="s">
        <v>39</v>
      </c>
      <c r="I358" s="12" t="s">
        <v>19</v>
      </c>
      <c r="J358" s="70">
        <v>46180</v>
      </c>
      <c r="K358" s="34" t="s">
        <v>557</v>
      </c>
      <c r="L358" s="13" t="s">
        <v>15</v>
      </c>
    </row>
    <row r="359" spans="1:30">
      <c r="A359" s="6" t="e">
        <f t="shared" ca="1" si="4"/>
        <v>#NAME?</v>
      </c>
      <c r="B359" s="83">
        <v>207</v>
      </c>
      <c r="C359" s="84" t="s">
        <v>558</v>
      </c>
      <c r="D359" s="85">
        <v>7206</v>
      </c>
      <c r="E359" s="85">
        <v>6847</v>
      </c>
      <c r="F359" s="86">
        <f t="shared" si="5"/>
        <v>6.0126123479053637E-4</v>
      </c>
      <c r="G359" s="87">
        <v>349.07400000000001</v>
      </c>
      <c r="H359" s="88" t="s">
        <v>150</v>
      </c>
      <c r="I359" s="88" t="s">
        <v>19</v>
      </c>
      <c r="J359" s="89"/>
      <c r="K359" s="90"/>
      <c r="L359" s="13" t="s">
        <v>15</v>
      </c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</row>
    <row r="360" spans="1:30">
      <c r="A360" s="6" t="e">
        <f t="shared" ca="1" si="4"/>
        <v>#NAME?</v>
      </c>
      <c r="B360" s="7">
        <v>55</v>
      </c>
      <c r="C360" s="8" t="s">
        <v>559</v>
      </c>
      <c r="D360" s="9">
        <v>39751</v>
      </c>
      <c r="E360" s="9">
        <v>39422</v>
      </c>
      <c r="F360" s="10">
        <f t="shared" si="5"/>
        <v>3.4617964653005E-3</v>
      </c>
      <c r="G360" s="11">
        <v>4343.6559999999999</v>
      </c>
      <c r="H360" s="12" t="s">
        <v>560</v>
      </c>
      <c r="I360" s="12" t="s">
        <v>14</v>
      </c>
      <c r="L360" s="13" t="s">
        <v>15</v>
      </c>
    </row>
    <row r="361" spans="1:30">
      <c r="A361" s="6" t="e">
        <f t="shared" ca="1" si="4"/>
        <v>#NAME?</v>
      </c>
      <c r="B361" s="7">
        <v>404</v>
      </c>
      <c r="C361" s="12" t="s">
        <v>561</v>
      </c>
      <c r="D361" s="9">
        <v>2595</v>
      </c>
      <c r="E361" s="9">
        <v>2613</v>
      </c>
      <c r="F361" s="10">
        <f t="shared" si="5"/>
        <v>2.2945751519025436E-4</v>
      </c>
      <c r="G361" s="11">
        <v>77.888999999999996</v>
      </c>
      <c r="H361" s="12" t="s">
        <v>36</v>
      </c>
      <c r="I361" s="12" t="s">
        <v>19</v>
      </c>
      <c r="L361" s="13" t="s">
        <v>15</v>
      </c>
    </row>
    <row r="362" spans="1:30">
      <c r="A362" s="6" t="e">
        <f t="shared" ca="1" si="4"/>
        <v>#NAME?</v>
      </c>
      <c r="B362" s="46">
        <v>403</v>
      </c>
      <c r="C362" s="47" t="s">
        <v>562</v>
      </c>
      <c r="D362" s="48">
        <v>2869</v>
      </c>
      <c r="E362" s="48">
        <v>2679</v>
      </c>
      <c r="F362" s="49">
        <f t="shared" si="5"/>
        <v>2.3525322739942266E-4</v>
      </c>
      <c r="G362" s="50">
        <v>221.554</v>
      </c>
      <c r="H362" s="51" t="s">
        <v>42</v>
      </c>
      <c r="I362" s="51" t="s">
        <v>19</v>
      </c>
      <c r="J362" s="52">
        <v>44169</v>
      </c>
      <c r="K362" s="24" t="s">
        <v>563</v>
      </c>
      <c r="L362" s="13" t="s">
        <v>15</v>
      </c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>
      <c r="A363" s="6" t="e">
        <f t="shared" ca="1" si="4"/>
        <v>#NAME?</v>
      </c>
      <c r="B363" s="7">
        <v>142</v>
      </c>
      <c r="C363" s="8" t="s">
        <v>564</v>
      </c>
      <c r="D363" s="9">
        <v>11880</v>
      </c>
      <c r="E363" s="9">
        <v>12449</v>
      </c>
      <c r="F363" s="10">
        <f t="shared" si="5"/>
        <v>1.0931942619990343E-3</v>
      </c>
      <c r="G363" s="11">
        <v>507.69799999999998</v>
      </c>
      <c r="H363" s="12" t="s">
        <v>42</v>
      </c>
      <c r="I363" s="12" t="s">
        <v>19</v>
      </c>
      <c r="L363" s="13" t="s">
        <v>15</v>
      </c>
    </row>
    <row r="364" spans="1:30">
      <c r="A364" s="6" t="e">
        <f t="shared" ca="1" si="4"/>
        <v>#NAME?</v>
      </c>
      <c r="B364" s="7">
        <v>394</v>
      </c>
      <c r="C364" s="8" t="s">
        <v>565</v>
      </c>
      <c r="D364" s="9">
        <v>2669</v>
      </c>
      <c r="E364" s="9">
        <v>2732</v>
      </c>
      <c r="F364" s="10">
        <f t="shared" si="5"/>
        <v>2.3990735993102751E-4</v>
      </c>
      <c r="G364" s="11">
        <v>94.311999999999998</v>
      </c>
      <c r="H364" s="12" t="s">
        <v>150</v>
      </c>
      <c r="I364" s="12" t="s">
        <v>19</v>
      </c>
      <c r="L364" s="13" t="s">
        <v>15</v>
      </c>
    </row>
    <row r="365" spans="1:30">
      <c r="A365" s="6" t="e">
        <f t="shared" ca="1" si="4"/>
        <v>#NAME?</v>
      </c>
      <c r="B365" s="46">
        <v>187</v>
      </c>
      <c r="C365" s="47" t="s">
        <v>566</v>
      </c>
      <c r="D365" s="48">
        <v>6747</v>
      </c>
      <c r="E365" s="48">
        <v>7799</v>
      </c>
      <c r="F365" s="49">
        <f t="shared" si="5"/>
        <v>6.8485999271672166E-4</v>
      </c>
      <c r="G365" s="50">
        <v>99.046000000000006</v>
      </c>
      <c r="H365" s="51" t="s">
        <v>44</v>
      </c>
      <c r="I365" s="51" t="s">
        <v>45</v>
      </c>
      <c r="J365" s="52">
        <v>43984</v>
      </c>
      <c r="K365" s="24" t="s">
        <v>567</v>
      </c>
      <c r="L365" s="13" t="s">
        <v>15</v>
      </c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>
      <c r="A366" s="6" t="e">
        <f t="shared" ca="1" si="4"/>
        <v>#NAME?</v>
      </c>
      <c r="B366" s="46">
        <v>119</v>
      </c>
      <c r="C366" s="47" t="s">
        <v>109</v>
      </c>
      <c r="D366" s="48">
        <v>15373</v>
      </c>
      <c r="E366" s="48">
        <v>16270</v>
      </c>
      <c r="F366" s="49">
        <f t="shared" si="5"/>
        <v>1.4287308733813388E-3</v>
      </c>
      <c r="G366" s="50">
        <v>504.43799999999999</v>
      </c>
      <c r="H366" s="51" t="s">
        <v>109</v>
      </c>
      <c r="I366" s="51" t="s">
        <v>19</v>
      </c>
      <c r="J366" s="52">
        <v>44050</v>
      </c>
      <c r="K366" s="24" t="s">
        <v>568</v>
      </c>
      <c r="L366" s="13" t="s">
        <v>15</v>
      </c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>
      <c r="A367" s="6" t="e">
        <f t="shared" ca="1" si="4"/>
        <v>#NAME?</v>
      </c>
      <c r="B367" s="46">
        <v>185</v>
      </c>
      <c r="C367" s="47" t="s">
        <v>569</v>
      </c>
      <c r="D367" s="48">
        <v>8829</v>
      </c>
      <c r="E367" s="48">
        <v>7994</v>
      </c>
      <c r="F367" s="49">
        <f t="shared" si="5"/>
        <v>7.0198368788017349E-4</v>
      </c>
      <c r="G367" s="50">
        <v>975.51800000000003</v>
      </c>
      <c r="H367" s="51" t="s">
        <v>42</v>
      </c>
      <c r="I367" s="51" t="s">
        <v>19</v>
      </c>
      <c r="J367" s="52">
        <v>44171</v>
      </c>
      <c r="K367" s="24" t="s">
        <v>570</v>
      </c>
      <c r="L367" s="13" t="s">
        <v>15</v>
      </c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>
      <c r="A368" s="6" t="e">
        <f t="shared" ca="1" si="4"/>
        <v>#NAME?</v>
      </c>
      <c r="B368" s="46">
        <v>483</v>
      </c>
      <c r="C368" s="47" t="s">
        <v>571</v>
      </c>
      <c r="D368" s="48">
        <v>1655</v>
      </c>
      <c r="E368" s="48">
        <v>1644</v>
      </c>
      <c r="F368" s="49">
        <f t="shared" si="5"/>
        <v>1.4436592230110146E-4</v>
      </c>
      <c r="G368" s="50">
        <v>200.05600000000001</v>
      </c>
      <c r="H368" s="51" t="s">
        <v>18</v>
      </c>
      <c r="I368" s="51" t="s">
        <v>19</v>
      </c>
      <c r="J368" s="52">
        <v>44051</v>
      </c>
      <c r="K368" s="24" t="s">
        <v>572</v>
      </c>
      <c r="L368" s="13" t="s">
        <v>15</v>
      </c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>
      <c r="A369" s="6" t="e">
        <f t="shared" ca="1" si="4"/>
        <v>#NAME?</v>
      </c>
      <c r="B369" s="25">
        <v>219</v>
      </c>
      <c r="C369" s="26" t="s">
        <v>573</v>
      </c>
      <c r="D369" s="27">
        <v>5692</v>
      </c>
      <c r="E369" s="27">
        <v>6603</v>
      </c>
      <c r="F369" s="28">
        <f t="shared" si="5"/>
        <v>5.7983466238088386E-4</v>
      </c>
      <c r="G369" s="29">
        <v>86.751999999999995</v>
      </c>
      <c r="H369" s="30" t="s">
        <v>73</v>
      </c>
      <c r="I369" s="30" t="s">
        <v>74</v>
      </c>
      <c r="J369" s="31">
        <v>44388</v>
      </c>
      <c r="K369" s="32" t="s">
        <v>574</v>
      </c>
      <c r="L369" s="13" t="s">
        <v>15</v>
      </c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spans="1:30">
      <c r="A370" s="79" t="e">
        <f t="shared" ca="1" si="4"/>
        <v>#NAME?</v>
      </c>
      <c r="B370" s="25">
        <v>14</v>
      </c>
      <c r="C370" s="26" t="s">
        <v>82</v>
      </c>
      <c r="D370" s="27">
        <v>118287</v>
      </c>
      <c r="E370" s="27">
        <v>130416</v>
      </c>
      <c r="F370" s="28">
        <f t="shared" si="5"/>
        <v>1.1452327325316576E-2</v>
      </c>
      <c r="G370" s="29">
        <v>733.89800000000002</v>
      </c>
      <c r="H370" s="30" t="s">
        <v>82</v>
      </c>
      <c r="I370" s="30" t="s">
        <v>74</v>
      </c>
      <c r="J370" s="31">
        <v>44790</v>
      </c>
      <c r="K370" s="32" t="s">
        <v>89</v>
      </c>
      <c r="L370" s="80" t="s">
        <v>15</v>
      </c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spans="1:30">
      <c r="A371" s="6" t="e">
        <f t="shared" ca="1" si="4"/>
        <v>#NAME?</v>
      </c>
      <c r="B371" s="7">
        <v>412</v>
      </c>
      <c r="C371" s="12" t="s">
        <v>575</v>
      </c>
      <c r="D371" s="9">
        <v>2352</v>
      </c>
      <c r="E371" s="9">
        <v>2545</v>
      </c>
      <c r="F371" s="10">
        <f t="shared" si="5"/>
        <v>2.2348617533838398E-4</v>
      </c>
      <c r="G371" s="11">
        <v>955.29899999999998</v>
      </c>
      <c r="H371" s="12" t="s">
        <v>560</v>
      </c>
      <c r="I371" s="12" t="s">
        <v>14</v>
      </c>
      <c r="L371" s="13" t="s">
        <v>15</v>
      </c>
    </row>
    <row r="372" spans="1:30">
      <c r="A372" s="6" t="e">
        <f t="shared" ca="1" si="4"/>
        <v>#NAME?</v>
      </c>
      <c r="B372" s="25">
        <v>5</v>
      </c>
      <c r="C372" s="26" t="s">
        <v>143</v>
      </c>
      <c r="D372" s="27">
        <v>268450</v>
      </c>
      <c r="E372" s="27">
        <v>282660</v>
      </c>
      <c r="F372" s="28">
        <f t="shared" si="5"/>
        <v>2.4821454743083542E-2</v>
      </c>
      <c r="G372" s="29">
        <v>1780.796</v>
      </c>
      <c r="H372" s="30" t="s">
        <v>143</v>
      </c>
      <c r="I372" s="91" t="s">
        <v>25</v>
      </c>
      <c r="J372" s="31">
        <v>45709</v>
      </c>
      <c r="K372" s="32" t="s">
        <v>760</v>
      </c>
      <c r="L372" s="80" t="s">
        <v>15</v>
      </c>
    </row>
    <row r="373" spans="1:30">
      <c r="A373" s="6" t="e">
        <f t="shared" ca="1" si="4"/>
        <v>#NAME?</v>
      </c>
      <c r="B373" s="46">
        <v>227</v>
      </c>
      <c r="C373" s="51" t="s">
        <v>576</v>
      </c>
      <c r="D373" s="48">
        <v>6053</v>
      </c>
      <c r="E373" s="48">
        <v>6331</v>
      </c>
      <c r="F373" s="49">
        <f t="shared" si="5"/>
        <v>5.5594930297340236E-4</v>
      </c>
      <c r="G373" s="50">
        <v>139.767</v>
      </c>
      <c r="H373" s="51" t="s">
        <v>170</v>
      </c>
      <c r="I373" s="51" t="s">
        <v>45</v>
      </c>
      <c r="J373" s="52">
        <v>43997</v>
      </c>
      <c r="K373" s="24" t="s">
        <v>535</v>
      </c>
      <c r="L373" s="13" t="s">
        <v>15</v>
      </c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>
      <c r="A374" s="6" t="e">
        <f t="shared" ca="1" si="4"/>
        <v>#NAME?</v>
      </c>
      <c r="B374" s="7">
        <v>29</v>
      </c>
      <c r="C374" s="8" t="s">
        <v>31</v>
      </c>
      <c r="D374" s="9">
        <v>68587</v>
      </c>
      <c r="E374" s="9">
        <v>73254</v>
      </c>
      <c r="F374" s="10">
        <f t="shared" si="5"/>
        <v>6.4327136692487151E-3</v>
      </c>
      <c r="G374" s="11">
        <v>489.38</v>
      </c>
      <c r="H374" s="12" t="s">
        <v>31</v>
      </c>
      <c r="I374" s="12" t="s">
        <v>19</v>
      </c>
      <c r="L374" s="13" t="s">
        <v>15</v>
      </c>
    </row>
    <row r="375" spans="1:30">
      <c r="A375" s="6" t="e">
        <f t="shared" ca="1" si="4"/>
        <v>#NAME?</v>
      </c>
      <c r="B375" s="46">
        <v>473</v>
      </c>
      <c r="C375" s="47" t="s">
        <v>577</v>
      </c>
      <c r="D375" s="48">
        <v>1717</v>
      </c>
      <c r="E375" s="48">
        <v>1734</v>
      </c>
      <c r="F375" s="49">
        <f t="shared" si="5"/>
        <v>1.5226916622269461E-4</v>
      </c>
      <c r="G375" s="50">
        <v>74.054000000000002</v>
      </c>
      <c r="H375" s="51" t="s">
        <v>62</v>
      </c>
      <c r="I375" s="51" t="s">
        <v>57</v>
      </c>
      <c r="J375" s="52">
        <v>43984</v>
      </c>
      <c r="K375" s="24" t="s">
        <v>578</v>
      </c>
      <c r="L375" s="13" t="s">
        <v>15</v>
      </c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>
      <c r="A376" s="6" t="e">
        <f t="shared" ca="1" si="4"/>
        <v>#NAME?</v>
      </c>
      <c r="B376" s="7">
        <v>75</v>
      </c>
      <c r="C376" s="8" t="s">
        <v>579</v>
      </c>
      <c r="D376" s="9">
        <v>31002</v>
      </c>
      <c r="E376" s="9">
        <v>29676</v>
      </c>
      <c r="F376" s="10">
        <f t="shared" si="5"/>
        <v>2.6059629624133134E-3</v>
      </c>
      <c r="G376" s="11">
        <v>5195.6670000000004</v>
      </c>
      <c r="H376" s="12" t="s">
        <v>217</v>
      </c>
      <c r="I376" s="12" t="s">
        <v>51</v>
      </c>
      <c r="L376" s="13" t="s">
        <v>15</v>
      </c>
    </row>
    <row r="377" spans="1:30">
      <c r="A377" s="6" t="e">
        <f t="shared" ca="1" si="4"/>
        <v>#NAME?</v>
      </c>
      <c r="B377" s="7">
        <v>182</v>
      </c>
      <c r="C377" s="8" t="s">
        <v>580</v>
      </c>
      <c r="D377" s="9">
        <v>8244</v>
      </c>
      <c r="E377" s="9">
        <v>8098</v>
      </c>
      <c r="F377" s="10">
        <f t="shared" si="5"/>
        <v>7.1111632530068106E-4</v>
      </c>
      <c r="G377" s="11">
        <v>1420.616</v>
      </c>
      <c r="H377" s="12" t="s">
        <v>50</v>
      </c>
      <c r="I377" s="12" t="s">
        <v>51</v>
      </c>
      <c r="L377" s="13" t="s">
        <v>15</v>
      </c>
    </row>
    <row r="378" spans="1:30">
      <c r="A378" s="6" t="e">
        <f t="shared" ca="1" si="4"/>
        <v>#NAME?</v>
      </c>
      <c r="B378" s="7">
        <v>27</v>
      </c>
      <c r="C378" s="8" t="s">
        <v>581</v>
      </c>
      <c r="D378" s="9">
        <v>82513</v>
      </c>
      <c r="E378" s="9">
        <v>77027</v>
      </c>
      <c r="F378" s="10">
        <f t="shared" si="5"/>
        <v>6.7640352172061696E-3</v>
      </c>
      <c r="G378" s="92">
        <v>6946.4070000000002</v>
      </c>
      <c r="H378" s="12" t="s">
        <v>560</v>
      </c>
      <c r="I378" s="12" t="s">
        <v>14</v>
      </c>
      <c r="L378" s="13" t="s">
        <v>15</v>
      </c>
    </row>
    <row r="379" spans="1:30">
      <c r="A379" s="6" t="e">
        <f t="shared" ca="1" si="4"/>
        <v>#NAME?</v>
      </c>
      <c r="B379" s="7">
        <v>46</v>
      </c>
      <c r="C379" s="8" t="s">
        <v>181</v>
      </c>
      <c r="D379" s="9">
        <v>49082</v>
      </c>
      <c r="E379" s="9">
        <v>49425</v>
      </c>
      <c r="F379" s="10">
        <f t="shared" si="5"/>
        <v>4.3401981202749029E-3</v>
      </c>
      <c r="G379" s="11">
        <v>2414.1950000000002</v>
      </c>
      <c r="H379" s="12" t="s">
        <v>181</v>
      </c>
      <c r="I379" s="12" t="s">
        <v>25</v>
      </c>
      <c r="L379" s="13" t="s">
        <v>15</v>
      </c>
    </row>
    <row r="380" spans="1:30">
      <c r="A380" s="6" t="e">
        <f t="shared" ca="1" si="4"/>
        <v>#NAME?</v>
      </c>
      <c r="B380" s="46">
        <v>26</v>
      </c>
      <c r="C380" s="47" t="s">
        <v>134</v>
      </c>
      <c r="D380" s="48">
        <v>76304</v>
      </c>
      <c r="E380" s="48">
        <v>77593</v>
      </c>
      <c r="F380" s="49">
        <f t="shared" si="5"/>
        <v>6.8137378400908557E-3</v>
      </c>
      <c r="G380" s="50">
        <v>679.34</v>
      </c>
      <c r="H380" s="51" t="s">
        <v>134</v>
      </c>
      <c r="I380" s="51" t="s">
        <v>19</v>
      </c>
      <c r="J380" s="52">
        <v>44169</v>
      </c>
      <c r="K380" s="24" t="s">
        <v>582</v>
      </c>
      <c r="L380" s="13" t="s">
        <v>15</v>
      </c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>
      <c r="A381" s="6" t="e">
        <f t="shared" ca="1" si="4"/>
        <v>#NAME?</v>
      </c>
      <c r="B381" s="46">
        <v>52</v>
      </c>
      <c r="C381" s="47" t="s">
        <v>583</v>
      </c>
      <c r="D381" s="48">
        <v>39679</v>
      </c>
      <c r="E381" s="48">
        <v>42894</v>
      </c>
      <c r="F381" s="49">
        <f t="shared" si="5"/>
        <v>3.7666860530312938E-3</v>
      </c>
      <c r="G381" s="50">
        <v>1049.807</v>
      </c>
      <c r="H381" s="51" t="s">
        <v>79</v>
      </c>
      <c r="I381" s="51" t="s">
        <v>45</v>
      </c>
      <c r="J381" s="52">
        <v>43979</v>
      </c>
      <c r="K381" s="24" t="s">
        <v>464</v>
      </c>
      <c r="L381" s="13" t="s">
        <v>15</v>
      </c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>
      <c r="A382" s="6" t="e">
        <f t="shared" ca="1" si="4"/>
        <v>#NAME?</v>
      </c>
      <c r="B382" s="7">
        <v>164</v>
      </c>
      <c r="C382" s="8" t="s">
        <v>584</v>
      </c>
      <c r="D382" s="9">
        <v>11210</v>
      </c>
      <c r="E382" s="9">
        <v>10175</v>
      </c>
      <c r="F382" s="10">
        <f t="shared" si="5"/>
        <v>8.935056322467807E-4</v>
      </c>
      <c r="G382" s="11">
        <v>1710.8689999999999</v>
      </c>
      <c r="H382" s="12" t="s">
        <v>134</v>
      </c>
      <c r="I382" s="12" t="s">
        <v>19</v>
      </c>
      <c r="L382" s="13" t="s">
        <v>15</v>
      </c>
    </row>
    <row r="383" spans="1:30">
      <c r="A383" s="53" t="e">
        <f t="shared" ca="1" si="4"/>
        <v>#NAME?</v>
      </c>
      <c r="B383" s="14">
        <v>441</v>
      </c>
      <c r="C383" s="19" t="s">
        <v>585</v>
      </c>
      <c r="D383" s="16">
        <v>2139</v>
      </c>
      <c r="E383" s="16">
        <v>2134</v>
      </c>
      <c r="F383" s="17">
        <f t="shared" si="5"/>
        <v>1.873946947631086E-4</v>
      </c>
      <c r="G383" s="18">
        <v>126.09399999999999</v>
      </c>
      <c r="H383" s="19" t="s">
        <v>18</v>
      </c>
      <c r="I383" s="19" t="s">
        <v>19</v>
      </c>
      <c r="J383" s="20">
        <v>44026</v>
      </c>
      <c r="K383" s="21" t="s">
        <v>586</v>
      </c>
      <c r="L383" s="13" t="s">
        <v>21</v>
      </c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>
      <c r="A384" s="6" t="e">
        <f t="shared" ca="1" si="4"/>
        <v>#NAME?</v>
      </c>
      <c r="B384" s="25">
        <v>454</v>
      </c>
      <c r="C384" s="26" t="s">
        <v>587</v>
      </c>
      <c r="D384" s="27">
        <v>1987</v>
      </c>
      <c r="E384" s="27">
        <v>2020</v>
      </c>
      <c r="F384" s="28">
        <f t="shared" si="5"/>
        <v>1.7738391912909063E-4</v>
      </c>
      <c r="G384" s="29">
        <v>203.44</v>
      </c>
      <c r="H384" s="30" t="s">
        <v>36</v>
      </c>
      <c r="I384" s="30" t="s">
        <v>19</v>
      </c>
      <c r="J384" s="31">
        <v>44389</v>
      </c>
      <c r="K384" s="32" t="s">
        <v>588</v>
      </c>
      <c r="L384" s="13" t="s">
        <v>15</v>
      </c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spans="1:30">
      <c r="A385" s="6" t="e">
        <f t="shared" ca="1" si="4"/>
        <v>#NAME?</v>
      </c>
      <c r="B385" s="7">
        <v>133</v>
      </c>
      <c r="C385" s="8" t="s">
        <v>589</v>
      </c>
      <c r="D385" s="9">
        <v>13970</v>
      </c>
      <c r="E385" s="9">
        <v>13885</v>
      </c>
      <c r="F385" s="10">
        <f t="shared" si="5"/>
        <v>1.2192949094591205E-3</v>
      </c>
      <c r="G385" s="11">
        <v>467.77499999999998</v>
      </c>
      <c r="H385" s="12" t="s">
        <v>28</v>
      </c>
      <c r="I385" s="12" t="s">
        <v>19</v>
      </c>
      <c r="L385" s="13" t="s">
        <v>15</v>
      </c>
    </row>
    <row r="386" spans="1:30">
      <c r="A386" s="6" t="e">
        <f t="shared" ca="1" si="4"/>
        <v>#NAME?</v>
      </c>
      <c r="B386" s="7">
        <v>128</v>
      </c>
      <c r="C386" s="8" t="s">
        <v>590</v>
      </c>
      <c r="D386" s="9">
        <v>14378</v>
      </c>
      <c r="E386" s="9">
        <v>14257</v>
      </c>
      <c r="F386" s="10">
        <f t="shared" si="5"/>
        <v>1.2519616510017055E-3</v>
      </c>
      <c r="G386" s="11">
        <v>367.202</v>
      </c>
      <c r="H386" s="12" t="s">
        <v>31</v>
      </c>
      <c r="I386" s="12" t="s">
        <v>19</v>
      </c>
      <c r="L386" s="13" t="s">
        <v>15</v>
      </c>
    </row>
    <row r="387" spans="1:30">
      <c r="A387" s="53" t="e">
        <f t="shared" ca="1" si="4"/>
        <v>#NAME?</v>
      </c>
      <c r="B387" s="14">
        <v>430</v>
      </c>
      <c r="C387" s="15" t="s">
        <v>591</v>
      </c>
      <c r="D387" s="16">
        <v>2461</v>
      </c>
      <c r="E387" s="16">
        <v>2343</v>
      </c>
      <c r="F387" s="17">
        <f t="shared" si="5"/>
        <v>2.057477834254749E-4</v>
      </c>
      <c r="G387" s="18">
        <v>125.595</v>
      </c>
      <c r="H387" s="19" t="s">
        <v>109</v>
      </c>
      <c r="I387" s="19" t="s">
        <v>19</v>
      </c>
      <c r="J387" s="20">
        <v>44050</v>
      </c>
      <c r="K387" s="21" t="s">
        <v>592</v>
      </c>
      <c r="L387" s="13" t="s">
        <v>21</v>
      </c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>
      <c r="A388" s="6" t="e">
        <f t="shared" ca="1" si="4"/>
        <v>#NAME?</v>
      </c>
      <c r="B388" s="7">
        <v>39</v>
      </c>
      <c r="C388" s="8" t="s">
        <v>593</v>
      </c>
      <c r="D388" s="9">
        <v>61671</v>
      </c>
      <c r="E388" s="9">
        <v>60282</v>
      </c>
      <c r="F388" s="10">
        <f t="shared" si="5"/>
        <v>5.2935927786830891E-3</v>
      </c>
      <c r="G388" s="11">
        <v>3616.69</v>
      </c>
      <c r="H388" s="12" t="s">
        <v>33</v>
      </c>
      <c r="I388" s="12" t="s">
        <v>14</v>
      </c>
      <c r="L388" s="13" t="s">
        <v>15</v>
      </c>
    </row>
    <row r="389" spans="1:30">
      <c r="A389" s="6" t="e">
        <f t="shared" ca="1" si="4"/>
        <v>#NAME?</v>
      </c>
      <c r="B389" s="46">
        <v>361</v>
      </c>
      <c r="C389" s="47" t="s">
        <v>594</v>
      </c>
      <c r="D389" s="48">
        <v>2926</v>
      </c>
      <c r="E389" s="48">
        <v>3065</v>
      </c>
      <c r="F389" s="49">
        <f t="shared" si="5"/>
        <v>2.6914936244092216E-4</v>
      </c>
      <c r="G389" s="50">
        <v>78.67</v>
      </c>
      <c r="H389" s="51" t="s">
        <v>18</v>
      </c>
      <c r="I389" s="51" t="s">
        <v>19</v>
      </c>
      <c r="J389" s="52">
        <v>43985</v>
      </c>
      <c r="K389" s="24" t="s">
        <v>595</v>
      </c>
      <c r="L389" s="13" t="s">
        <v>15</v>
      </c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>
      <c r="A390" s="6" t="e">
        <f t="shared" ca="1" si="4"/>
        <v>#NAME?</v>
      </c>
      <c r="B390" s="7">
        <v>112</v>
      </c>
      <c r="C390" s="8" t="s">
        <v>596</v>
      </c>
      <c r="D390" s="9">
        <v>19258</v>
      </c>
      <c r="E390" s="9">
        <v>18335</v>
      </c>
      <c r="F390" s="10">
        <f t="shared" si="5"/>
        <v>1.6100664144712261E-3</v>
      </c>
      <c r="G390" s="11">
        <v>2508.453</v>
      </c>
      <c r="H390" s="12" t="s">
        <v>33</v>
      </c>
      <c r="I390" s="12" t="s">
        <v>14</v>
      </c>
      <c r="L390" s="13" t="s">
        <v>15</v>
      </c>
    </row>
    <row r="391" spans="1:30">
      <c r="A391" s="6" t="e">
        <f t="shared" ca="1" si="4"/>
        <v>#NAME?</v>
      </c>
      <c r="B391" s="46">
        <v>101</v>
      </c>
      <c r="C391" s="51" t="s">
        <v>597</v>
      </c>
      <c r="D391" s="48">
        <v>20570</v>
      </c>
      <c r="E391" s="48">
        <v>21710</v>
      </c>
      <c r="F391" s="49">
        <f t="shared" si="5"/>
        <v>1.906438061530969E-3</v>
      </c>
      <c r="G391" s="50">
        <v>3265.0039999999999</v>
      </c>
      <c r="H391" s="51" t="s">
        <v>125</v>
      </c>
      <c r="I391" s="51" t="s">
        <v>57</v>
      </c>
      <c r="J391" s="52">
        <v>43947</v>
      </c>
      <c r="K391" s="24" t="s">
        <v>598</v>
      </c>
      <c r="L391" s="13" t="s">
        <v>15</v>
      </c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>
      <c r="A392" s="6" t="e">
        <f t="shared" ca="1" si="4"/>
        <v>#NAME?</v>
      </c>
      <c r="B392" s="7">
        <v>37</v>
      </c>
      <c r="C392" s="8" t="s">
        <v>599</v>
      </c>
      <c r="D392" s="9">
        <v>60508</v>
      </c>
      <c r="E392" s="9">
        <v>62105</v>
      </c>
      <c r="F392" s="10">
        <f t="shared" si="5"/>
        <v>5.4536773750060259E-3</v>
      </c>
      <c r="G392" s="11">
        <v>5051.9040000000005</v>
      </c>
      <c r="H392" s="12" t="s">
        <v>560</v>
      </c>
      <c r="I392" s="12" t="s">
        <v>14</v>
      </c>
      <c r="L392" s="13" t="s">
        <v>15</v>
      </c>
    </row>
    <row r="393" spans="1:30">
      <c r="A393" s="6" t="e">
        <f t="shared" ca="1" si="4"/>
        <v>#NAME?</v>
      </c>
      <c r="B393" s="25">
        <v>92</v>
      </c>
      <c r="C393" s="26" t="s">
        <v>84</v>
      </c>
      <c r="D393" s="27">
        <v>22141</v>
      </c>
      <c r="E393" s="27">
        <v>24248</v>
      </c>
      <c r="F393" s="28">
        <f t="shared" si="5"/>
        <v>2.1293095401198957E-3</v>
      </c>
      <c r="G393" s="29">
        <v>935.596</v>
      </c>
      <c r="H393" s="30" t="s">
        <v>84</v>
      </c>
      <c r="I393" s="30" t="s">
        <v>45</v>
      </c>
      <c r="J393" s="31">
        <v>44388</v>
      </c>
      <c r="K393" s="32" t="s">
        <v>600</v>
      </c>
      <c r="L393" s="13" t="s">
        <v>15</v>
      </c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spans="1:30">
      <c r="A394" s="6" t="e">
        <f t="shared" ca="1" si="4"/>
        <v>#NAME?</v>
      </c>
      <c r="B394" s="46">
        <v>287</v>
      </c>
      <c r="C394" s="47" t="s">
        <v>601</v>
      </c>
      <c r="D394" s="48">
        <v>4726</v>
      </c>
      <c r="E394" s="48">
        <v>4674</v>
      </c>
      <c r="F394" s="49">
        <f t="shared" si="5"/>
        <v>4.1044180099473738E-4</v>
      </c>
      <c r="G394" s="50">
        <v>171.029</v>
      </c>
      <c r="H394" s="51" t="s">
        <v>109</v>
      </c>
      <c r="I394" s="51" t="s">
        <v>19</v>
      </c>
      <c r="J394" s="52">
        <v>44050</v>
      </c>
      <c r="K394" s="24" t="s">
        <v>602</v>
      </c>
      <c r="L394" s="13" t="s">
        <v>15</v>
      </c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>
      <c r="A395" s="6" t="e">
        <f t="shared" ca="1" si="4"/>
        <v>#NAME?</v>
      </c>
      <c r="B395" s="25">
        <v>410</v>
      </c>
      <c r="C395" s="26" t="s">
        <v>603</v>
      </c>
      <c r="D395" s="27">
        <v>2635</v>
      </c>
      <c r="E395" s="27">
        <v>2561</v>
      </c>
      <c r="F395" s="28">
        <f t="shared" si="5"/>
        <v>2.2489119648000052E-4</v>
      </c>
      <c r="G395" s="29">
        <v>78.319999999999993</v>
      </c>
      <c r="H395" s="30" t="s">
        <v>24</v>
      </c>
      <c r="I395" s="30" t="s">
        <v>25</v>
      </c>
      <c r="J395" s="31">
        <v>45532</v>
      </c>
      <c r="K395" s="32" t="s">
        <v>37</v>
      </c>
      <c r="L395" s="80" t="s">
        <v>15</v>
      </c>
    </row>
    <row r="396" spans="1:30">
      <c r="A396" s="53" t="e">
        <f t="shared" ca="1" si="4"/>
        <v>#NAME?</v>
      </c>
      <c r="B396" s="14">
        <v>392</v>
      </c>
      <c r="C396" s="19" t="s">
        <v>604</v>
      </c>
      <c r="D396" s="16">
        <v>2774</v>
      </c>
      <c r="E396" s="16">
        <v>2757</v>
      </c>
      <c r="F396" s="17">
        <f t="shared" si="5"/>
        <v>2.4210270546480339E-4</v>
      </c>
      <c r="G396" s="18">
        <v>125.62</v>
      </c>
      <c r="H396" s="19" t="s">
        <v>56</v>
      </c>
      <c r="I396" s="19" t="s">
        <v>57</v>
      </c>
      <c r="J396" s="20">
        <v>44016</v>
      </c>
      <c r="K396" s="21" t="s">
        <v>605</v>
      </c>
      <c r="L396" s="13" t="s">
        <v>21</v>
      </c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>
      <c r="A397" s="6" t="e">
        <f t="shared" ca="1" si="4"/>
        <v>#NAME?</v>
      </c>
      <c r="B397" s="7">
        <v>408</v>
      </c>
      <c r="C397" s="12" t="s">
        <v>606</v>
      </c>
      <c r="D397" s="9">
        <v>2720</v>
      </c>
      <c r="E397" s="9">
        <v>2562</v>
      </c>
      <c r="F397" s="10">
        <f t="shared" si="5"/>
        <v>2.2497901030135156E-4</v>
      </c>
      <c r="G397" s="11">
        <v>98.125</v>
      </c>
      <c r="H397" s="12" t="s">
        <v>36</v>
      </c>
      <c r="I397" s="12" t="s">
        <v>19</v>
      </c>
      <c r="L397" s="13" t="s">
        <v>15</v>
      </c>
    </row>
    <row r="398" spans="1:30">
      <c r="A398" s="6" t="e">
        <f t="shared" ca="1" si="4"/>
        <v>#NAME?</v>
      </c>
      <c r="B398" s="46">
        <v>456</v>
      </c>
      <c r="C398" s="51" t="s">
        <v>607</v>
      </c>
      <c r="D398" s="48">
        <v>2204</v>
      </c>
      <c r="E398" s="48">
        <v>2000</v>
      </c>
      <c r="F398" s="49">
        <f t="shared" si="5"/>
        <v>1.7562764270206993E-4</v>
      </c>
      <c r="G398" s="50">
        <v>103.09399999999999</v>
      </c>
      <c r="H398" s="51" t="s">
        <v>112</v>
      </c>
      <c r="I398" s="51" t="s">
        <v>19</v>
      </c>
      <c r="J398" s="52">
        <v>44027</v>
      </c>
      <c r="K398" s="24" t="s">
        <v>433</v>
      </c>
      <c r="L398" s="13" t="s">
        <v>15</v>
      </c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>
      <c r="A399" s="6" t="e">
        <f t="shared" ca="1" si="4"/>
        <v>#NAME?</v>
      </c>
      <c r="B399" s="46">
        <v>283</v>
      </c>
      <c r="C399" s="47" t="s">
        <v>608</v>
      </c>
      <c r="D399" s="48">
        <v>4094</v>
      </c>
      <c r="E399" s="48">
        <v>4739</v>
      </c>
      <c r="F399" s="49">
        <f t="shared" si="5"/>
        <v>4.1614969938255468E-4</v>
      </c>
      <c r="G399" s="50">
        <v>63.692999999999998</v>
      </c>
      <c r="H399" s="51" t="s">
        <v>44</v>
      </c>
      <c r="I399" s="51" t="s">
        <v>45</v>
      </c>
      <c r="J399" s="52">
        <v>43977</v>
      </c>
      <c r="K399" s="24" t="s">
        <v>97</v>
      </c>
      <c r="L399" s="13" t="s">
        <v>15</v>
      </c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>
      <c r="A400" s="6" t="e">
        <f t="shared" ca="1" si="4"/>
        <v>#NAME?</v>
      </c>
      <c r="B400" s="7">
        <v>449</v>
      </c>
      <c r="C400" s="12" t="s">
        <v>609</v>
      </c>
      <c r="D400" s="9">
        <v>2200</v>
      </c>
      <c r="E400" s="9">
        <v>2091</v>
      </c>
      <c r="F400" s="10">
        <f t="shared" si="5"/>
        <v>1.8361870044501411E-4</v>
      </c>
      <c r="G400" s="11">
        <v>77.631</v>
      </c>
      <c r="H400" s="12" t="s">
        <v>31</v>
      </c>
      <c r="I400" s="12" t="s">
        <v>19</v>
      </c>
      <c r="L400" s="13" t="s">
        <v>15</v>
      </c>
    </row>
    <row r="401" spans="1:30">
      <c r="A401" s="6" t="e">
        <f t="shared" ca="1" si="4"/>
        <v>#NAME?</v>
      </c>
      <c r="B401" s="46">
        <v>80</v>
      </c>
      <c r="C401" s="47" t="s">
        <v>610</v>
      </c>
      <c r="D401" s="48">
        <v>25523</v>
      </c>
      <c r="E401" s="48">
        <v>27568</v>
      </c>
      <c r="F401" s="49">
        <f t="shared" si="5"/>
        <v>2.4208514270053316E-3</v>
      </c>
      <c r="G401" s="50">
        <v>1071.8240000000001</v>
      </c>
      <c r="H401" s="51" t="s">
        <v>217</v>
      </c>
      <c r="I401" s="51" t="s">
        <v>51</v>
      </c>
      <c r="J401" s="52">
        <v>43960</v>
      </c>
      <c r="K401" s="24" t="s">
        <v>611</v>
      </c>
      <c r="L401" s="13" t="s">
        <v>15</v>
      </c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>
      <c r="A402" s="6" t="e">
        <f t="shared" ca="1" si="4"/>
        <v>#NAME?</v>
      </c>
      <c r="B402" s="46">
        <v>205</v>
      </c>
      <c r="C402" s="47" t="s">
        <v>612</v>
      </c>
      <c r="D402" s="48">
        <v>6906</v>
      </c>
      <c r="E402" s="48">
        <v>6933</v>
      </c>
      <c r="F402" s="49">
        <f t="shared" si="5"/>
        <v>6.088132234267254E-4</v>
      </c>
      <c r="G402" s="50">
        <v>335.28699999999998</v>
      </c>
      <c r="H402" s="51" t="s">
        <v>109</v>
      </c>
      <c r="I402" s="51" t="s">
        <v>19</v>
      </c>
      <c r="J402" s="52">
        <v>44050</v>
      </c>
      <c r="K402" s="24" t="s">
        <v>613</v>
      </c>
      <c r="L402" s="13" t="s">
        <v>15</v>
      </c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>
      <c r="A403" s="6" t="e">
        <f t="shared" ca="1" si="4"/>
        <v>#NAME?</v>
      </c>
      <c r="B403" s="46">
        <v>425</v>
      </c>
      <c r="C403" s="47" t="s">
        <v>614</v>
      </c>
      <c r="D403" s="48">
        <v>2082</v>
      </c>
      <c r="E403" s="48">
        <v>2378</v>
      </c>
      <c r="F403" s="49">
        <f t="shared" si="5"/>
        <v>2.0882126717276114E-4</v>
      </c>
      <c r="G403" s="50">
        <v>55.209000000000003</v>
      </c>
      <c r="H403" s="51" t="s">
        <v>44</v>
      </c>
      <c r="I403" s="51" t="s">
        <v>45</v>
      </c>
      <c r="J403" s="52">
        <v>43984</v>
      </c>
      <c r="K403" s="24" t="s">
        <v>615</v>
      </c>
      <c r="L403" s="13" t="s">
        <v>15</v>
      </c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>
      <c r="A404" s="6" t="e">
        <f t="shared" ca="1" si="4"/>
        <v>#NAME?</v>
      </c>
      <c r="B404" s="46">
        <v>335</v>
      </c>
      <c r="C404" s="47" t="s">
        <v>616</v>
      </c>
      <c r="D404" s="48">
        <v>3290</v>
      </c>
      <c r="E404" s="48">
        <v>3509</v>
      </c>
      <c r="F404" s="49">
        <f t="shared" si="5"/>
        <v>3.0813869912078168E-4</v>
      </c>
      <c r="G404" s="50">
        <v>1173.9069999999999</v>
      </c>
      <c r="H404" s="51" t="s">
        <v>125</v>
      </c>
      <c r="I404" s="51" t="s">
        <v>57</v>
      </c>
      <c r="J404" s="52">
        <v>43947</v>
      </c>
      <c r="K404" s="24" t="s">
        <v>155</v>
      </c>
      <c r="L404" s="13" t="s">
        <v>15</v>
      </c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>
      <c r="A405" s="6" t="e">
        <f t="shared" ca="1" si="4"/>
        <v>#NAME?</v>
      </c>
      <c r="B405" s="46">
        <v>9</v>
      </c>
      <c r="C405" s="47" t="s">
        <v>617</v>
      </c>
      <c r="D405" s="48">
        <v>214210</v>
      </c>
      <c r="E405" s="48">
        <v>236835</v>
      </c>
      <c r="F405" s="49">
        <f t="shared" si="5"/>
        <v>2.0797386379672364E-2</v>
      </c>
      <c r="G405" s="50">
        <v>103.012</v>
      </c>
      <c r="H405" s="51" t="s">
        <v>48</v>
      </c>
      <c r="I405" s="51" t="s">
        <v>45</v>
      </c>
      <c r="J405" s="52">
        <v>43978</v>
      </c>
      <c r="K405" s="24" t="s">
        <v>68</v>
      </c>
      <c r="L405" s="13" t="s">
        <v>15</v>
      </c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>
      <c r="A406" s="6" t="e">
        <f t="shared" ca="1" si="4"/>
        <v>#NAME?</v>
      </c>
      <c r="B406" s="46">
        <v>51</v>
      </c>
      <c r="C406" s="47" t="s">
        <v>618</v>
      </c>
      <c r="D406" s="48">
        <v>43114</v>
      </c>
      <c r="E406" s="48">
        <v>43582</v>
      </c>
      <c r="F406" s="49">
        <f t="shared" si="5"/>
        <v>3.8271019621208056E-3</v>
      </c>
      <c r="G406" s="50">
        <v>2036.125</v>
      </c>
      <c r="H406" s="51" t="s">
        <v>77</v>
      </c>
      <c r="I406" s="51" t="s">
        <v>51</v>
      </c>
      <c r="J406" s="52">
        <v>43961</v>
      </c>
      <c r="K406" s="24" t="s">
        <v>505</v>
      </c>
      <c r="L406" s="13" t="s">
        <v>15</v>
      </c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>
      <c r="A407" s="6" t="e">
        <f t="shared" ca="1" si="4"/>
        <v>#NAME?</v>
      </c>
      <c r="B407" s="46">
        <v>66</v>
      </c>
      <c r="C407" s="47" t="s">
        <v>619</v>
      </c>
      <c r="D407" s="48">
        <v>34558</v>
      </c>
      <c r="E407" s="48">
        <v>33468</v>
      </c>
      <c r="F407" s="49">
        <f t="shared" si="5"/>
        <v>2.938952972976438E-3</v>
      </c>
      <c r="G407" s="50">
        <v>1295.5219999999999</v>
      </c>
      <c r="H407" s="51" t="s">
        <v>134</v>
      </c>
      <c r="I407" s="51" t="s">
        <v>19</v>
      </c>
      <c r="J407" s="52">
        <v>44170</v>
      </c>
      <c r="K407" s="24" t="s">
        <v>620</v>
      </c>
      <c r="L407" s="13" t="s">
        <v>15</v>
      </c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>
      <c r="A408" s="6" t="e">
        <f t="shared" ca="1" si="4"/>
        <v>#NAME?</v>
      </c>
      <c r="B408" s="46">
        <v>103</v>
      </c>
      <c r="C408" s="47" t="s">
        <v>621</v>
      </c>
      <c r="D408" s="48">
        <v>20105</v>
      </c>
      <c r="E408" s="48">
        <v>21556</v>
      </c>
      <c r="F408" s="49">
        <f t="shared" si="5"/>
        <v>1.8929147330429097E-3</v>
      </c>
      <c r="G408" s="50">
        <v>256.35500000000002</v>
      </c>
      <c r="H408" s="51" t="s">
        <v>62</v>
      </c>
      <c r="I408" s="51" t="s">
        <v>57</v>
      </c>
      <c r="J408" s="52">
        <v>44015</v>
      </c>
      <c r="K408" s="24" t="s">
        <v>622</v>
      </c>
      <c r="L408" s="13" t="s">
        <v>15</v>
      </c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>
      <c r="A409" s="6" t="e">
        <f t="shared" ca="1" si="4"/>
        <v>#NAME?</v>
      </c>
      <c r="B409" s="7">
        <v>257</v>
      </c>
      <c r="C409" s="8" t="s">
        <v>623</v>
      </c>
      <c r="D409" s="9">
        <v>5773</v>
      </c>
      <c r="E409" s="9">
        <v>5426</v>
      </c>
      <c r="F409" s="10">
        <f t="shared" si="5"/>
        <v>4.7647779465071567E-4</v>
      </c>
      <c r="G409" s="11">
        <v>171.197</v>
      </c>
      <c r="H409" s="12" t="s">
        <v>101</v>
      </c>
      <c r="I409" s="12" t="s">
        <v>19</v>
      </c>
      <c r="L409" s="13" t="s">
        <v>15</v>
      </c>
    </row>
    <row r="410" spans="1:30">
      <c r="A410" s="6" t="e">
        <f t="shared" ca="1" si="4"/>
        <v>#NAME?</v>
      </c>
      <c r="B410" s="7">
        <v>351</v>
      </c>
      <c r="C410" s="8" t="s">
        <v>624</v>
      </c>
      <c r="D410" s="9">
        <v>3201</v>
      </c>
      <c r="E410" s="9">
        <v>3238</v>
      </c>
      <c r="F410" s="10">
        <f t="shared" si="5"/>
        <v>2.8434115353465121E-4</v>
      </c>
      <c r="G410" s="11">
        <v>669.54700000000003</v>
      </c>
      <c r="H410" s="12" t="s">
        <v>143</v>
      </c>
      <c r="I410" s="12" t="s">
        <v>25</v>
      </c>
      <c r="L410" s="13" t="s">
        <v>15</v>
      </c>
    </row>
    <row r="411" spans="1:30">
      <c r="A411" s="6" t="e">
        <f t="shared" ca="1" si="4"/>
        <v>#NAME?</v>
      </c>
      <c r="B411" s="46">
        <v>190</v>
      </c>
      <c r="C411" s="47" t="s">
        <v>625</v>
      </c>
      <c r="D411" s="48">
        <v>7421</v>
      </c>
      <c r="E411" s="48">
        <v>7673</v>
      </c>
      <c r="F411" s="49">
        <f t="shared" si="5"/>
        <v>6.7379545122649121E-4</v>
      </c>
      <c r="G411" s="50">
        <v>1228.4469999999999</v>
      </c>
      <c r="H411" s="51" t="s">
        <v>134</v>
      </c>
      <c r="I411" s="51" t="s">
        <v>19</v>
      </c>
      <c r="J411" s="52">
        <v>44169</v>
      </c>
      <c r="K411" s="24" t="s">
        <v>370</v>
      </c>
      <c r="L411" s="13" t="s">
        <v>15</v>
      </c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>
      <c r="A412" s="6" t="e">
        <f t="shared" ca="1" si="4"/>
        <v>#NAME?</v>
      </c>
      <c r="B412" s="7">
        <v>261</v>
      </c>
      <c r="C412" s="8" t="s">
        <v>626</v>
      </c>
      <c r="D412" s="9">
        <v>5727</v>
      </c>
      <c r="E412" s="9">
        <v>5265</v>
      </c>
      <c r="F412" s="10">
        <f t="shared" si="5"/>
        <v>4.6233976941319909E-4</v>
      </c>
      <c r="G412" s="11">
        <v>485.58800000000002</v>
      </c>
      <c r="H412" s="12" t="s">
        <v>134</v>
      </c>
      <c r="I412" s="12" t="s">
        <v>19</v>
      </c>
      <c r="L412" s="13" t="s">
        <v>15</v>
      </c>
    </row>
    <row r="413" spans="1:30">
      <c r="A413" s="6" t="e">
        <f t="shared" ca="1" si="4"/>
        <v>#NAME?</v>
      </c>
      <c r="B413" s="7">
        <v>243</v>
      </c>
      <c r="C413" s="8" t="s">
        <v>627</v>
      </c>
      <c r="D413" s="9">
        <v>6367</v>
      </c>
      <c r="E413" s="9">
        <v>5790</v>
      </c>
      <c r="F413" s="10">
        <f t="shared" si="5"/>
        <v>5.0844202562249242E-4</v>
      </c>
      <c r="G413" s="11">
        <v>223.94200000000001</v>
      </c>
      <c r="H413" s="12" t="s">
        <v>150</v>
      </c>
      <c r="I413" s="12" t="s">
        <v>19</v>
      </c>
      <c r="L413" s="13" t="s">
        <v>15</v>
      </c>
    </row>
    <row r="414" spans="1:30">
      <c r="A414" s="53" t="e">
        <f t="shared" ca="1" si="4"/>
        <v>#NAME?</v>
      </c>
      <c r="B414" s="14">
        <v>323</v>
      </c>
      <c r="C414" s="15" t="s">
        <v>628</v>
      </c>
      <c r="D414" s="16">
        <v>3317</v>
      </c>
      <c r="E414" s="16">
        <v>3758</v>
      </c>
      <c r="F414" s="17">
        <f t="shared" si="5"/>
        <v>3.3000434063718936E-4</v>
      </c>
      <c r="G414" s="18">
        <v>35.061999999999998</v>
      </c>
      <c r="H414" s="19" t="s">
        <v>44</v>
      </c>
      <c r="I414" s="19" t="s">
        <v>45</v>
      </c>
      <c r="J414" s="20">
        <v>43984</v>
      </c>
      <c r="K414" s="21" t="s">
        <v>377</v>
      </c>
      <c r="L414" s="13" t="s">
        <v>21</v>
      </c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>
      <c r="A415" s="6" t="e">
        <f t="shared" ref="A415:A503" ca="1" si="6">_xludf.CONCAT(C415," (RS)")</f>
        <v>#NAME?</v>
      </c>
      <c r="B415" s="7">
        <v>457</v>
      </c>
      <c r="C415" s="8" t="s">
        <v>629</v>
      </c>
      <c r="D415" s="9">
        <v>1886</v>
      </c>
      <c r="E415" s="9">
        <v>2000</v>
      </c>
      <c r="F415" s="10">
        <f t="shared" ref="F415:F503" si="7">E415/$E$504</f>
        <v>1.7562764270206993E-4</v>
      </c>
      <c r="G415" s="11">
        <v>79.894000000000005</v>
      </c>
      <c r="H415" s="12" t="s">
        <v>36</v>
      </c>
      <c r="I415" s="12" t="s">
        <v>19</v>
      </c>
      <c r="L415" s="13" t="s">
        <v>15</v>
      </c>
    </row>
    <row r="416" spans="1:30">
      <c r="A416" s="6" t="e">
        <f t="shared" ca="1" si="6"/>
        <v>#NAME?</v>
      </c>
      <c r="B416" s="7">
        <v>374</v>
      </c>
      <c r="C416" s="8" t="s">
        <v>630</v>
      </c>
      <c r="D416" s="9">
        <v>2873</v>
      </c>
      <c r="E416" s="9">
        <v>2946</v>
      </c>
      <c r="F416" s="10">
        <f t="shared" si="7"/>
        <v>2.5869951770014901E-4</v>
      </c>
      <c r="G416" s="11">
        <v>107.559</v>
      </c>
      <c r="H416" s="12" t="s">
        <v>150</v>
      </c>
      <c r="I416" s="12" t="s">
        <v>19</v>
      </c>
      <c r="L416" s="13" t="s">
        <v>15</v>
      </c>
    </row>
    <row r="417" spans="1:30">
      <c r="A417" s="6" t="e">
        <f t="shared" ca="1" si="6"/>
        <v>#NAME?</v>
      </c>
      <c r="B417" s="25">
        <v>122</v>
      </c>
      <c r="C417" s="26" t="s">
        <v>631</v>
      </c>
      <c r="D417" s="27">
        <v>16371</v>
      </c>
      <c r="E417" s="27">
        <v>16198</v>
      </c>
      <c r="F417" s="28">
        <f t="shared" si="7"/>
        <v>1.4224082782440643E-3</v>
      </c>
      <c r="G417" s="29">
        <v>873.73400000000004</v>
      </c>
      <c r="H417" s="30" t="s">
        <v>143</v>
      </c>
      <c r="I417" s="30" t="s">
        <v>25</v>
      </c>
      <c r="J417" s="31">
        <v>45709</v>
      </c>
      <c r="K417" s="32" t="s">
        <v>759</v>
      </c>
      <c r="L417" s="80" t="s">
        <v>15</v>
      </c>
    </row>
    <row r="418" spans="1:30">
      <c r="A418" s="6" t="e">
        <f t="shared" ca="1" si="6"/>
        <v>#NAME?</v>
      </c>
      <c r="B418" s="46">
        <v>88</v>
      </c>
      <c r="C418" s="47" t="s">
        <v>632</v>
      </c>
      <c r="D418" s="48">
        <v>21944</v>
      </c>
      <c r="E418" s="48">
        <v>25685</v>
      </c>
      <c r="F418" s="49">
        <f t="shared" si="7"/>
        <v>2.2554980014013329E-3</v>
      </c>
      <c r="G418" s="50">
        <v>112.587</v>
      </c>
      <c r="H418" s="51" t="s">
        <v>44</v>
      </c>
      <c r="I418" s="51" t="s">
        <v>45</v>
      </c>
      <c r="J418" s="31">
        <v>43977</v>
      </c>
      <c r="K418" s="24" t="s">
        <v>58</v>
      </c>
      <c r="L418" s="13" t="s">
        <v>15</v>
      </c>
    </row>
    <row r="419" spans="1:30">
      <c r="A419" s="6" t="e">
        <f t="shared" ca="1" si="6"/>
        <v>#NAME?</v>
      </c>
      <c r="B419" s="7">
        <v>97</v>
      </c>
      <c r="C419" s="12" t="s">
        <v>633</v>
      </c>
      <c r="D419" s="9">
        <v>23798</v>
      </c>
      <c r="E419" s="9">
        <v>23621</v>
      </c>
      <c r="F419" s="10">
        <f t="shared" si="7"/>
        <v>2.0742502741327969E-3</v>
      </c>
      <c r="G419" s="11">
        <v>2204.779</v>
      </c>
      <c r="H419" s="12" t="s">
        <v>143</v>
      </c>
      <c r="I419" s="12" t="s">
        <v>25</v>
      </c>
      <c r="L419" s="13" t="s">
        <v>15</v>
      </c>
    </row>
    <row r="420" spans="1:30">
      <c r="A420" s="6" t="e">
        <f t="shared" ca="1" si="6"/>
        <v>#NAME?</v>
      </c>
      <c r="B420" s="7">
        <v>346</v>
      </c>
      <c r="C420" s="12" t="s">
        <v>634</v>
      </c>
      <c r="D420" s="9">
        <v>3632</v>
      </c>
      <c r="E420" s="9">
        <v>3341</v>
      </c>
      <c r="F420" s="10">
        <f t="shared" si="7"/>
        <v>2.933859771338078E-4</v>
      </c>
      <c r="G420" s="11">
        <v>154.44999999999999</v>
      </c>
      <c r="H420" s="12" t="s">
        <v>70</v>
      </c>
      <c r="I420" s="12" t="s">
        <v>19</v>
      </c>
      <c r="J420" s="70">
        <v>46179</v>
      </c>
      <c r="K420" s="34" t="s">
        <v>634</v>
      </c>
      <c r="L420" s="13" t="s">
        <v>15</v>
      </c>
    </row>
    <row r="421" spans="1:30">
      <c r="A421" s="6" t="e">
        <f t="shared" ca="1" si="6"/>
        <v>#NAME?</v>
      </c>
      <c r="B421" s="46">
        <v>436</v>
      </c>
      <c r="C421" s="47" t="s">
        <v>635</v>
      </c>
      <c r="D421" s="48">
        <v>2168</v>
      </c>
      <c r="E421" s="48">
        <v>2239</v>
      </c>
      <c r="F421" s="49">
        <f t="shared" si="7"/>
        <v>1.9661514600496729E-4</v>
      </c>
      <c r="G421" s="50">
        <v>91.897999999999996</v>
      </c>
      <c r="H421" s="51" t="s">
        <v>56</v>
      </c>
      <c r="I421" s="51" t="s">
        <v>57</v>
      </c>
      <c r="J421" s="52">
        <v>43984</v>
      </c>
      <c r="K421" s="24" t="s">
        <v>636</v>
      </c>
      <c r="L421" s="13" t="s">
        <v>15</v>
      </c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>
      <c r="A422" s="6" t="e">
        <f t="shared" ca="1" si="6"/>
        <v>#NAME?</v>
      </c>
      <c r="B422" s="7">
        <v>397</v>
      </c>
      <c r="C422" s="8" t="s">
        <v>637</v>
      </c>
      <c r="D422" s="9">
        <v>2647</v>
      </c>
      <c r="E422" s="9">
        <v>2724</v>
      </c>
      <c r="F422" s="10">
        <f t="shared" si="7"/>
        <v>2.3920484936021922E-4</v>
      </c>
      <c r="G422" s="11">
        <v>107.402</v>
      </c>
      <c r="H422" s="12" t="s">
        <v>28</v>
      </c>
      <c r="I422" s="12" t="s">
        <v>19</v>
      </c>
      <c r="L422" s="13" t="s">
        <v>15</v>
      </c>
    </row>
    <row r="423" spans="1:30">
      <c r="A423" s="6" t="e">
        <f t="shared" ca="1" si="6"/>
        <v>#NAME?</v>
      </c>
      <c r="B423" s="46">
        <v>439</v>
      </c>
      <c r="C423" s="47" t="s">
        <v>638</v>
      </c>
      <c r="D423" s="48">
        <v>1944</v>
      </c>
      <c r="E423" s="48">
        <v>2219</v>
      </c>
      <c r="F423" s="49">
        <f t="shared" si="7"/>
        <v>1.9485886957794658E-4</v>
      </c>
      <c r="G423" s="50">
        <v>32.104999999999997</v>
      </c>
      <c r="H423" s="51" t="s">
        <v>44</v>
      </c>
      <c r="I423" s="51" t="s">
        <v>45</v>
      </c>
      <c r="J423" s="52">
        <v>43980</v>
      </c>
      <c r="K423" s="24" t="s">
        <v>639</v>
      </c>
      <c r="L423" s="13" t="s">
        <v>15</v>
      </c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>
      <c r="A424" s="6" t="e">
        <f t="shared" ca="1" si="6"/>
        <v>#NAME?</v>
      </c>
      <c r="B424" s="25">
        <v>175</v>
      </c>
      <c r="C424" s="30" t="s">
        <v>640</v>
      </c>
      <c r="D424" s="27">
        <v>8440</v>
      </c>
      <c r="E424" s="27">
        <v>8721</v>
      </c>
      <c r="F424" s="28">
        <f t="shared" si="7"/>
        <v>7.658243360023759E-4</v>
      </c>
      <c r="G424" s="29">
        <v>1172.6400000000001</v>
      </c>
      <c r="H424" s="30" t="s">
        <v>143</v>
      </c>
      <c r="I424" s="30" t="s">
        <v>25</v>
      </c>
      <c r="J424" s="31">
        <v>45709</v>
      </c>
      <c r="K424" s="32" t="s">
        <v>758</v>
      </c>
      <c r="L424" s="13" t="s">
        <v>15</v>
      </c>
    </row>
    <row r="425" spans="1:30">
      <c r="A425" s="6" t="e">
        <f t="shared" ca="1" si="6"/>
        <v>#NAME?</v>
      </c>
      <c r="B425" s="14">
        <v>25</v>
      </c>
      <c r="C425" s="15" t="s">
        <v>641</v>
      </c>
      <c r="D425" s="16">
        <v>75020</v>
      </c>
      <c r="E425" s="16">
        <v>81734</v>
      </c>
      <c r="F425" s="17">
        <f t="shared" si="7"/>
        <v>7.1773748743054911E-3</v>
      </c>
      <c r="G425" s="18">
        <v>137.624</v>
      </c>
      <c r="H425" s="19" t="s">
        <v>48</v>
      </c>
      <c r="I425" s="19" t="s">
        <v>45</v>
      </c>
      <c r="J425" s="20">
        <v>43919</v>
      </c>
      <c r="K425" s="21" t="s">
        <v>456</v>
      </c>
      <c r="L425" s="13" t="s">
        <v>21</v>
      </c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>
      <c r="A426" s="53" t="e">
        <f t="shared" ca="1" si="6"/>
        <v>#NAME?</v>
      </c>
      <c r="B426" s="14">
        <v>13</v>
      </c>
      <c r="C426" s="15" t="s">
        <v>642</v>
      </c>
      <c r="D426" s="16">
        <v>130957</v>
      </c>
      <c r="E426" s="16">
        <v>141075</v>
      </c>
      <c r="F426" s="17">
        <f t="shared" si="7"/>
        <v>1.2388334847097258E-2</v>
      </c>
      <c r="G426" s="18">
        <v>58.308999999999997</v>
      </c>
      <c r="H426" s="19" t="s">
        <v>48</v>
      </c>
      <c r="I426" s="19" t="s">
        <v>45</v>
      </c>
      <c r="J426" s="20">
        <v>43978</v>
      </c>
      <c r="K426" s="21" t="s">
        <v>68</v>
      </c>
      <c r="L426" s="13" t="s">
        <v>21</v>
      </c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>
      <c r="A427" s="6" t="e">
        <f t="shared" ca="1" si="6"/>
        <v>#NAME?</v>
      </c>
      <c r="B427" s="7">
        <v>90</v>
      </c>
      <c r="C427" s="8" t="s">
        <v>643</v>
      </c>
      <c r="D427" s="9">
        <v>22623</v>
      </c>
      <c r="E427" s="9">
        <v>24489</v>
      </c>
      <c r="F427" s="10">
        <f t="shared" si="7"/>
        <v>2.1504726710654953E-3</v>
      </c>
      <c r="G427" s="11">
        <v>352.96800000000002</v>
      </c>
      <c r="H427" s="12" t="s">
        <v>36</v>
      </c>
      <c r="I427" s="12" t="s">
        <v>19</v>
      </c>
      <c r="J427" s="70">
        <v>46180</v>
      </c>
      <c r="K427" s="34" t="s">
        <v>148</v>
      </c>
      <c r="L427" s="13" t="s">
        <v>15</v>
      </c>
    </row>
    <row r="428" spans="1:30">
      <c r="A428" s="6" t="e">
        <f t="shared" ca="1" si="6"/>
        <v>#NAME?</v>
      </c>
      <c r="B428" s="7">
        <v>158</v>
      </c>
      <c r="C428" s="8" t="s">
        <v>644</v>
      </c>
      <c r="D428" s="9">
        <v>10902</v>
      </c>
      <c r="E428" s="9">
        <v>10750</v>
      </c>
      <c r="F428" s="10">
        <f t="shared" si="7"/>
        <v>9.4399857952362585E-4</v>
      </c>
      <c r="G428" s="11">
        <v>300.827</v>
      </c>
      <c r="H428" s="12" t="s">
        <v>39</v>
      </c>
      <c r="I428" s="12" t="s">
        <v>19</v>
      </c>
      <c r="J428" s="70">
        <v>46179</v>
      </c>
      <c r="K428" s="34" t="s">
        <v>645</v>
      </c>
      <c r="L428" s="13" t="s">
        <v>15</v>
      </c>
    </row>
    <row r="429" spans="1:30">
      <c r="A429" s="6" t="e">
        <f t="shared" ca="1" si="6"/>
        <v>#NAME?</v>
      </c>
      <c r="B429" s="7">
        <v>375</v>
      </c>
      <c r="C429" s="12" t="s">
        <v>646</v>
      </c>
      <c r="D429" s="9">
        <v>3011</v>
      </c>
      <c r="E429" s="9">
        <v>2924</v>
      </c>
      <c r="F429" s="10">
        <f t="shared" si="7"/>
        <v>2.5676761363042623E-4</v>
      </c>
      <c r="G429" s="11">
        <v>119.297</v>
      </c>
      <c r="H429" s="12" t="s">
        <v>101</v>
      </c>
      <c r="I429" s="12" t="s">
        <v>19</v>
      </c>
      <c r="L429" s="13" t="s">
        <v>15</v>
      </c>
    </row>
    <row r="430" spans="1:30">
      <c r="A430" s="6" t="e">
        <f t="shared" ca="1" si="6"/>
        <v>#NAME?</v>
      </c>
      <c r="B430" s="7">
        <v>196</v>
      </c>
      <c r="C430" s="8" t="s">
        <v>647</v>
      </c>
      <c r="D430" s="9">
        <v>7421</v>
      </c>
      <c r="E430" s="9">
        <v>7399</v>
      </c>
      <c r="F430" s="10">
        <f t="shared" si="7"/>
        <v>6.4973446417630764E-4</v>
      </c>
      <c r="G430" s="11">
        <v>246.22200000000001</v>
      </c>
      <c r="H430" s="12" t="s">
        <v>82</v>
      </c>
      <c r="I430" s="12" t="s">
        <v>74</v>
      </c>
      <c r="L430" s="13" t="s">
        <v>15</v>
      </c>
    </row>
    <row r="431" spans="1:30">
      <c r="A431" s="6" t="e">
        <f t="shared" ca="1" si="6"/>
        <v>#NAME?</v>
      </c>
      <c r="B431" s="46">
        <v>264</v>
      </c>
      <c r="C431" s="47" t="s">
        <v>648</v>
      </c>
      <c r="D431" s="48">
        <v>4929</v>
      </c>
      <c r="E431" s="48">
        <v>5100</v>
      </c>
      <c r="F431" s="49">
        <f t="shared" si="7"/>
        <v>4.4785048889027832E-4</v>
      </c>
      <c r="G431" s="50">
        <v>176.471</v>
      </c>
      <c r="H431" s="51" t="s">
        <v>227</v>
      </c>
      <c r="I431" s="51" t="s">
        <v>19</v>
      </c>
      <c r="J431" s="52">
        <v>44169</v>
      </c>
      <c r="K431" s="24" t="s">
        <v>649</v>
      </c>
      <c r="L431" s="13" t="s">
        <v>15</v>
      </c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>
      <c r="A432" s="6" t="e">
        <f t="shared" ca="1" si="6"/>
        <v>#NAME?</v>
      </c>
      <c r="B432" s="7">
        <v>388</v>
      </c>
      <c r="C432" s="8" t="s">
        <v>650</v>
      </c>
      <c r="D432" s="9">
        <v>2814</v>
      </c>
      <c r="E432" s="9">
        <v>2788</v>
      </c>
      <c r="F432" s="10">
        <f t="shared" si="7"/>
        <v>2.4482493392668548E-4</v>
      </c>
      <c r="G432" s="11">
        <v>147.06800000000001</v>
      </c>
      <c r="H432" s="12" t="s">
        <v>134</v>
      </c>
      <c r="I432" s="12" t="s">
        <v>19</v>
      </c>
      <c r="L432" s="13" t="s">
        <v>15</v>
      </c>
    </row>
    <row r="433" spans="1:30">
      <c r="A433" s="6" t="e">
        <f t="shared" ca="1" si="6"/>
        <v>#NAME?</v>
      </c>
      <c r="B433" s="46">
        <v>249</v>
      </c>
      <c r="C433" s="47" t="s">
        <v>651</v>
      </c>
      <c r="D433" s="48">
        <v>5197</v>
      </c>
      <c r="E433" s="48">
        <v>5581</v>
      </c>
      <c r="F433" s="49">
        <f t="shared" si="7"/>
        <v>4.9008893696012609E-4</v>
      </c>
      <c r="G433" s="50">
        <v>282.13</v>
      </c>
      <c r="H433" s="51" t="s">
        <v>65</v>
      </c>
      <c r="I433" s="51" t="s">
        <v>45</v>
      </c>
      <c r="J433" s="52">
        <v>43988</v>
      </c>
      <c r="K433" s="24" t="s">
        <v>365</v>
      </c>
      <c r="L433" s="13" t="s">
        <v>15</v>
      </c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>
      <c r="A434" s="6" t="e">
        <f t="shared" ca="1" si="6"/>
        <v>#NAME?</v>
      </c>
      <c r="B434" s="46">
        <v>115</v>
      </c>
      <c r="C434" s="47" t="s">
        <v>652</v>
      </c>
      <c r="D434" s="48">
        <v>14243</v>
      </c>
      <c r="E434" s="48">
        <v>17502</v>
      </c>
      <c r="F434" s="49">
        <f t="shared" si="7"/>
        <v>1.5369175012858139E-3</v>
      </c>
      <c r="G434" s="50">
        <v>163.31</v>
      </c>
      <c r="H434" s="51" t="s">
        <v>56</v>
      </c>
      <c r="I434" s="51" t="s">
        <v>57</v>
      </c>
      <c r="J434" s="52">
        <v>43985</v>
      </c>
      <c r="K434" s="24" t="s">
        <v>416</v>
      </c>
      <c r="L434" s="13" t="s">
        <v>15</v>
      </c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>
      <c r="A435" s="6" t="e">
        <f t="shared" ca="1" si="6"/>
        <v>#NAME?</v>
      </c>
      <c r="B435" s="25">
        <v>458</v>
      </c>
      <c r="C435" s="30" t="s">
        <v>653</v>
      </c>
      <c r="D435" s="27">
        <v>2281</v>
      </c>
      <c r="E435" s="27">
        <v>2000</v>
      </c>
      <c r="F435" s="28">
        <f t="shared" si="7"/>
        <v>1.7562764270206993E-4</v>
      </c>
      <c r="G435" s="29">
        <v>99.74</v>
      </c>
      <c r="H435" s="30" t="s">
        <v>73</v>
      </c>
      <c r="I435" s="30" t="s">
        <v>74</v>
      </c>
      <c r="J435" s="31">
        <v>44389</v>
      </c>
      <c r="K435" s="32" t="s">
        <v>97</v>
      </c>
      <c r="L435" s="13" t="s">
        <v>15</v>
      </c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spans="1:30">
      <c r="A436" s="6" t="e">
        <f t="shared" ca="1" si="6"/>
        <v>#NAME?</v>
      </c>
      <c r="B436" s="25">
        <v>258</v>
      </c>
      <c r="C436" s="30" t="s">
        <v>654</v>
      </c>
      <c r="D436" s="27">
        <v>6294</v>
      </c>
      <c r="E436" s="27">
        <v>5415</v>
      </c>
      <c r="F436" s="28">
        <f t="shared" si="7"/>
        <v>4.7551184261585434E-4</v>
      </c>
      <c r="G436" s="29">
        <v>440.17</v>
      </c>
      <c r="H436" s="30" t="s">
        <v>18</v>
      </c>
      <c r="I436" s="30" t="s">
        <v>19</v>
      </c>
      <c r="J436" s="31">
        <v>44389</v>
      </c>
      <c r="K436" s="32" t="s">
        <v>97</v>
      </c>
      <c r="L436" s="13" t="s">
        <v>15</v>
      </c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spans="1:30">
      <c r="A437" s="6" t="e">
        <f t="shared" ca="1" si="6"/>
        <v>#NAME?</v>
      </c>
      <c r="B437" s="46">
        <v>223</v>
      </c>
      <c r="C437" s="47" t="s">
        <v>655</v>
      </c>
      <c r="D437" s="48">
        <v>5850</v>
      </c>
      <c r="E437" s="48">
        <v>6486</v>
      </c>
      <c r="F437" s="49">
        <f t="shared" si="7"/>
        <v>5.6956044528281278E-4</v>
      </c>
      <c r="G437" s="50">
        <v>252.01300000000001</v>
      </c>
      <c r="H437" s="51" t="s">
        <v>48</v>
      </c>
      <c r="I437" s="51" t="s">
        <v>45</v>
      </c>
      <c r="J437" s="52">
        <v>43987</v>
      </c>
      <c r="K437" s="24" t="s">
        <v>185</v>
      </c>
      <c r="L437" s="13" t="s">
        <v>15</v>
      </c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>
      <c r="A438" s="6" t="e">
        <f t="shared" ca="1" si="6"/>
        <v>#NAME?</v>
      </c>
      <c r="B438" s="7">
        <v>460</v>
      </c>
      <c r="C438" s="8" t="s">
        <v>656</v>
      </c>
      <c r="D438" s="9">
        <v>2126</v>
      </c>
      <c r="E438" s="9">
        <v>1990</v>
      </c>
      <c r="F438" s="10">
        <f t="shared" si="7"/>
        <v>1.7474950448855957E-4</v>
      </c>
      <c r="G438" s="11">
        <v>129.238</v>
      </c>
      <c r="H438" s="12" t="s">
        <v>150</v>
      </c>
      <c r="I438" s="12" t="s">
        <v>19</v>
      </c>
      <c r="L438" s="13" t="s">
        <v>15</v>
      </c>
    </row>
    <row r="439" spans="1:30">
      <c r="A439" s="6" t="e">
        <f t="shared" ca="1" si="6"/>
        <v>#NAME?</v>
      </c>
      <c r="B439" s="25">
        <v>325</v>
      </c>
      <c r="C439" s="26" t="s">
        <v>657</v>
      </c>
      <c r="D439" s="27">
        <v>3842</v>
      </c>
      <c r="E439" s="27">
        <v>3685</v>
      </c>
      <c r="F439" s="28">
        <f t="shared" si="7"/>
        <v>3.2359393167856384E-4</v>
      </c>
      <c r="G439" s="29">
        <v>167.59800000000001</v>
      </c>
      <c r="H439" s="30" t="s">
        <v>70</v>
      </c>
      <c r="I439" s="30" t="s">
        <v>19</v>
      </c>
      <c r="J439" s="31">
        <v>44390</v>
      </c>
      <c r="K439" s="32" t="s">
        <v>658</v>
      </c>
      <c r="L439" s="13" t="s">
        <v>15</v>
      </c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spans="1:30">
      <c r="A440" s="6" t="e">
        <f t="shared" ca="1" si="6"/>
        <v>#NAME?</v>
      </c>
      <c r="B440" s="25">
        <v>424</v>
      </c>
      <c r="C440" s="26" t="s">
        <v>659</v>
      </c>
      <c r="D440" s="27">
        <v>2452</v>
      </c>
      <c r="E440" s="27">
        <v>2394</v>
      </c>
      <c r="F440" s="28">
        <f t="shared" si="7"/>
        <v>2.1022628831437771E-4</v>
      </c>
      <c r="G440" s="29">
        <v>119.285</v>
      </c>
      <c r="H440" s="30" t="s">
        <v>24</v>
      </c>
      <c r="I440" s="30" t="s">
        <v>25</v>
      </c>
      <c r="J440" s="31">
        <v>45532</v>
      </c>
      <c r="K440" s="32"/>
      <c r="L440" s="80" t="s">
        <v>15</v>
      </c>
    </row>
    <row r="441" spans="1:30">
      <c r="A441" s="6" t="e">
        <f t="shared" ca="1" si="6"/>
        <v>#NAME?</v>
      </c>
      <c r="B441" s="7">
        <v>165</v>
      </c>
      <c r="C441" s="8" t="s">
        <v>660</v>
      </c>
      <c r="D441" s="9">
        <v>10067</v>
      </c>
      <c r="E441" s="9">
        <v>10172</v>
      </c>
      <c r="F441" s="10">
        <f t="shared" si="7"/>
        <v>8.9324219078272765E-4</v>
      </c>
      <c r="G441" s="11">
        <v>510.233</v>
      </c>
      <c r="H441" s="12" t="s">
        <v>82</v>
      </c>
      <c r="I441" s="12" t="s">
        <v>74</v>
      </c>
      <c r="L441" s="13" t="s">
        <v>15</v>
      </c>
    </row>
    <row r="442" spans="1:30">
      <c r="A442" s="6" t="e">
        <f t="shared" ca="1" si="6"/>
        <v>#NAME?</v>
      </c>
      <c r="B442" s="7">
        <v>127</v>
      </c>
      <c r="C442" s="8" t="s">
        <v>661</v>
      </c>
      <c r="D442" s="9">
        <v>14285</v>
      </c>
      <c r="E442" s="9">
        <v>14967</v>
      </c>
      <c r="F442" s="10">
        <f t="shared" si="7"/>
        <v>1.3143094641609402E-3</v>
      </c>
      <c r="G442" s="11">
        <v>128.37899999999999</v>
      </c>
      <c r="H442" s="12" t="s">
        <v>82</v>
      </c>
      <c r="I442" s="12" t="s">
        <v>74</v>
      </c>
      <c r="L442" s="13" t="s">
        <v>15</v>
      </c>
    </row>
    <row r="443" spans="1:30">
      <c r="A443" s="6" t="e">
        <f t="shared" ca="1" si="6"/>
        <v>#NAME?</v>
      </c>
      <c r="B443" s="46">
        <v>72</v>
      </c>
      <c r="C443" s="47" t="s">
        <v>112</v>
      </c>
      <c r="D443" s="48">
        <v>30065</v>
      </c>
      <c r="E443" s="48">
        <v>31002</v>
      </c>
      <c r="F443" s="49">
        <f t="shared" si="7"/>
        <v>2.7224040895247859E-3</v>
      </c>
      <c r="G443" s="50">
        <v>1215.056</v>
      </c>
      <c r="H443" s="51" t="s">
        <v>112</v>
      </c>
      <c r="I443" s="51" t="s">
        <v>19</v>
      </c>
      <c r="J443" s="52">
        <v>44027</v>
      </c>
      <c r="K443" s="24" t="s">
        <v>662</v>
      </c>
      <c r="L443" s="13" t="s">
        <v>15</v>
      </c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>
      <c r="A444" s="53" t="e">
        <f t="shared" ca="1" si="6"/>
        <v>#NAME?</v>
      </c>
      <c r="B444" s="14">
        <v>288</v>
      </c>
      <c r="C444" s="15" t="s">
        <v>663</v>
      </c>
      <c r="D444" s="16">
        <v>4131</v>
      </c>
      <c r="E444" s="16">
        <v>4667</v>
      </c>
      <c r="F444" s="17">
        <f t="shared" si="7"/>
        <v>4.0982710424528014E-4</v>
      </c>
      <c r="G444" s="18">
        <v>94.754000000000005</v>
      </c>
      <c r="H444" s="19" t="s">
        <v>73</v>
      </c>
      <c r="I444" s="19" t="s">
        <v>74</v>
      </c>
      <c r="J444" s="20">
        <v>44169</v>
      </c>
      <c r="K444" s="21" t="s">
        <v>191</v>
      </c>
      <c r="L444" s="13" t="s">
        <v>21</v>
      </c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>
      <c r="A445" s="53" t="e">
        <f t="shared" ca="1" si="6"/>
        <v>#NAME?</v>
      </c>
      <c r="B445" s="14">
        <v>93</v>
      </c>
      <c r="C445" s="15" t="s">
        <v>664</v>
      </c>
      <c r="D445" s="16">
        <v>19252</v>
      </c>
      <c r="E445" s="16">
        <v>24111</v>
      </c>
      <c r="F445" s="17">
        <f t="shared" si="7"/>
        <v>2.1172790465948041E-3</v>
      </c>
      <c r="G445" s="18">
        <v>238.08199999999999</v>
      </c>
      <c r="H445" s="19" t="s">
        <v>18</v>
      </c>
      <c r="I445" s="19" t="s">
        <v>19</v>
      </c>
      <c r="J445" s="20">
        <v>44050</v>
      </c>
      <c r="K445" s="21" t="s">
        <v>665</v>
      </c>
      <c r="L445" s="13" t="s">
        <v>21</v>
      </c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>
      <c r="A446" s="6" t="e">
        <f t="shared" ca="1" si="6"/>
        <v>#NAME?</v>
      </c>
      <c r="B446" s="25">
        <v>160</v>
      </c>
      <c r="C446" s="26" t="s">
        <v>666</v>
      </c>
      <c r="D446" s="27">
        <v>10452</v>
      </c>
      <c r="E446" s="27">
        <v>10584</v>
      </c>
      <c r="F446" s="28">
        <f t="shared" si="7"/>
        <v>9.2942148517935399E-4</v>
      </c>
      <c r="G446" s="29">
        <v>179.935</v>
      </c>
      <c r="H446" s="30" t="s">
        <v>227</v>
      </c>
      <c r="I446" s="30" t="s">
        <v>19</v>
      </c>
      <c r="J446" s="31">
        <v>44389</v>
      </c>
      <c r="K446" s="32" t="s">
        <v>667</v>
      </c>
      <c r="L446" s="13" t="s">
        <v>15</v>
      </c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spans="1:30">
      <c r="A447" s="6" t="e">
        <f t="shared" ca="1" si="6"/>
        <v>#NAME?</v>
      </c>
      <c r="B447" s="46">
        <v>116</v>
      </c>
      <c r="C447" s="47" t="s">
        <v>668</v>
      </c>
      <c r="D447" s="48">
        <v>16649</v>
      </c>
      <c r="E447" s="48">
        <v>17300</v>
      </c>
      <c r="F447" s="49">
        <f t="shared" si="7"/>
        <v>1.5191791093729049E-3</v>
      </c>
      <c r="G447" s="50">
        <v>805.452</v>
      </c>
      <c r="H447" s="51" t="s">
        <v>65</v>
      </c>
      <c r="I447" s="51" t="s">
        <v>45</v>
      </c>
      <c r="J447" s="52">
        <v>43988</v>
      </c>
      <c r="K447" s="24" t="s">
        <v>669</v>
      </c>
      <c r="L447" s="13" t="s">
        <v>15</v>
      </c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>
      <c r="A448" s="6" t="e">
        <f t="shared" ca="1" si="6"/>
        <v>#NAME?</v>
      </c>
      <c r="B448" s="46">
        <v>41</v>
      </c>
      <c r="C448" s="47" t="s">
        <v>670</v>
      </c>
      <c r="D448" s="48">
        <v>54656</v>
      </c>
      <c r="E448" s="48">
        <v>57466</v>
      </c>
      <c r="F448" s="49">
        <f t="shared" si="7"/>
        <v>5.0463090577585754E-3</v>
      </c>
      <c r="G448" s="50">
        <v>457.59500000000003</v>
      </c>
      <c r="H448" s="51" t="s">
        <v>170</v>
      </c>
      <c r="I448" s="51" t="s">
        <v>45</v>
      </c>
      <c r="J448" s="52">
        <v>43965</v>
      </c>
      <c r="K448" s="24" t="s">
        <v>671</v>
      </c>
      <c r="L448" s="13" t="s">
        <v>15</v>
      </c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>
      <c r="A449" s="6" t="e">
        <f t="shared" ca="1" si="6"/>
        <v>#NAME?</v>
      </c>
      <c r="B449" s="93">
        <v>83</v>
      </c>
      <c r="C449" s="94" t="s">
        <v>672</v>
      </c>
      <c r="D449" s="95">
        <v>26138</v>
      </c>
      <c r="E449" s="95">
        <v>26862</v>
      </c>
      <c r="F449" s="96">
        <f t="shared" si="7"/>
        <v>2.3588548691315012E-3</v>
      </c>
      <c r="G449" s="97">
        <v>349.96699999999998</v>
      </c>
      <c r="H449" s="98" t="s">
        <v>73</v>
      </c>
      <c r="I449" s="98" t="s">
        <v>74</v>
      </c>
      <c r="J449" s="113"/>
      <c r="K449" s="99" t="s">
        <v>673</v>
      </c>
      <c r="L449" s="13" t="s">
        <v>15</v>
      </c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</row>
    <row r="450" spans="1:30">
      <c r="A450" s="6" t="e">
        <f t="shared" ca="1" si="6"/>
        <v>#NAME?</v>
      </c>
      <c r="B450" s="7">
        <v>360</v>
      </c>
      <c r="C450" s="8" t="s">
        <v>674</v>
      </c>
      <c r="D450" s="9">
        <v>2970</v>
      </c>
      <c r="E450" s="9">
        <v>3068</v>
      </c>
      <c r="F450" s="10">
        <f t="shared" si="7"/>
        <v>2.6941280390497526E-4</v>
      </c>
      <c r="G450" s="11">
        <v>76.917000000000002</v>
      </c>
      <c r="H450" s="12" t="s">
        <v>39</v>
      </c>
      <c r="I450" s="12" t="s">
        <v>19</v>
      </c>
      <c r="L450" s="13" t="s">
        <v>15</v>
      </c>
    </row>
    <row r="451" spans="1:30">
      <c r="A451" s="53" t="e">
        <f t="shared" ca="1" si="6"/>
        <v>#NAME?</v>
      </c>
      <c r="B451" s="14">
        <v>252</v>
      </c>
      <c r="C451" s="19" t="s">
        <v>675</v>
      </c>
      <c r="D451" s="16">
        <v>5351</v>
      </c>
      <c r="E451" s="16">
        <v>5481</v>
      </c>
      <c r="F451" s="17">
        <f t="shared" si="7"/>
        <v>4.8130755482502261E-4</v>
      </c>
      <c r="G451" s="18">
        <v>610.10599999999999</v>
      </c>
      <c r="H451" s="19" t="s">
        <v>79</v>
      </c>
      <c r="I451" s="19" t="s">
        <v>45</v>
      </c>
      <c r="J451" s="20">
        <v>43960</v>
      </c>
      <c r="K451" s="21" t="s">
        <v>20</v>
      </c>
      <c r="L451" s="13" t="s">
        <v>21</v>
      </c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>
      <c r="A452" s="6" t="e">
        <f t="shared" ca="1" si="6"/>
        <v>#NAME?</v>
      </c>
      <c r="B452" s="7">
        <v>136</v>
      </c>
      <c r="C452" s="8" t="s">
        <v>676</v>
      </c>
      <c r="D452" s="9">
        <v>13716</v>
      </c>
      <c r="E452" s="9">
        <v>13491</v>
      </c>
      <c r="F452" s="10">
        <f t="shared" si="7"/>
        <v>1.1846962638468127E-3</v>
      </c>
      <c r="G452" s="11">
        <v>337.49799999999999</v>
      </c>
      <c r="H452" s="12" t="s">
        <v>101</v>
      </c>
      <c r="I452" s="12" t="s">
        <v>19</v>
      </c>
      <c r="L452" s="13" t="s">
        <v>15</v>
      </c>
    </row>
    <row r="453" spans="1:30">
      <c r="A453" s="6" t="e">
        <f t="shared" ca="1" si="6"/>
        <v>#NAME?</v>
      </c>
      <c r="B453" s="46">
        <v>154</v>
      </c>
      <c r="C453" s="47" t="s">
        <v>677</v>
      </c>
      <c r="D453" s="48">
        <v>9878</v>
      </c>
      <c r="E453" s="48">
        <v>11204</v>
      </c>
      <c r="F453" s="49">
        <f t="shared" si="7"/>
        <v>9.8386605441699577E-4</v>
      </c>
      <c r="G453" s="50">
        <v>142.27500000000001</v>
      </c>
      <c r="H453" s="51" t="s">
        <v>79</v>
      </c>
      <c r="I453" s="51" t="s">
        <v>45</v>
      </c>
      <c r="J453" s="52">
        <v>43998</v>
      </c>
      <c r="K453" s="24" t="s">
        <v>272</v>
      </c>
      <c r="L453" s="13" t="s">
        <v>15</v>
      </c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>
      <c r="A454" s="6" t="e">
        <f t="shared" ca="1" si="6"/>
        <v>#NAME?</v>
      </c>
      <c r="B454" s="46">
        <v>68</v>
      </c>
      <c r="C454" s="47" t="s">
        <v>678</v>
      </c>
      <c r="D454" s="48">
        <v>27265</v>
      </c>
      <c r="E454" s="48">
        <v>33232</v>
      </c>
      <c r="F454" s="49">
        <f t="shared" si="7"/>
        <v>2.9182289111375939E-3</v>
      </c>
      <c r="G454" s="50">
        <v>178.524</v>
      </c>
      <c r="H454" s="51" t="s">
        <v>267</v>
      </c>
      <c r="I454" s="51" t="s">
        <v>74</v>
      </c>
      <c r="J454" s="52">
        <v>44025</v>
      </c>
      <c r="K454" s="24" t="s">
        <v>679</v>
      </c>
      <c r="L454" s="13" t="s">
        <v>15</v>
      </c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>
      <c r="A455" s="6" t="e">
        <f t="shared" ca="1" si="6"/>
        <v>#NAME?</v>
      </c>
      <c r="B455" s="46">
        <v>366</v>
      </c>
      <c r="C455" s="47" t="s">
        <v>680</v>
      </c>
      <c r="D455" s="48">
        <v>2724</v>
      </c>
      <c r="E455" s="48">
        <v>3004</v>
      </c>
      <c r="F455" s="49">
        <f t="shared" si="7"/>
        <v>2.63792719338509E-4</v>
      </c>
      <c r="G455" s="50">
        <v>113.944</v>
      </c>
      <c r="H455" s="51" t="s">
        <v>227</v>
      </c>
      <c r="I455" s="51" t="s">
        <v>19</v>
      </c>
      <c r="J455" s="52">
        <v>44171</v>
      </c>
      <c r="K455" s="24" t="s">
        <v>681</v>
      </c>
      <c r="L455" s="13" t="s">
        <v>15</v>
      </c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>
      <c r="A456" s="6" t="e">
        <f t="shared" ca="1" si="6"/>
        <v>#NAME?</v>
      </c>
      <c r="B456" s="7">
        <v>245</v>
      </c>
      <c r="C456" s="12" t="s">
        <v>682</v>
      </c>
      <c r="D456" s="9">
        <v>6461</v>
      </c>
      <c r="E456" s="9">
        <v>5704</v>
      </c>
      <c r="F456" s="10">
        <f t="shared" si="7"/>
        <v>5.0089003698630338E-4</v>
      </c>
      <c r="G456" s="11">
        <v>236.196</v>
      </c>
      <c r="H456" s="12" t="s">
        <v>101</v>
      </c>
      <c r="I456" s="12" t="s">
        <v>19</v>
      </c>
      <c r="L456" s="13" t="s">
        <v>15</v>
      </c>
    </row>
    <row r="457" spans="1:30">
      <c r="A457" s="6" t="e">
        <f t="shared" ca="1" si="6"/>
        <v>#NAME?</v>
      </c>
      <c r="B457" s="7">
        <v>386</v>
      </c>
      <c r="C457" s="12" t="s">
        <v>683</v>
      </c>
      <c r="D457" s="9">
        <v>2952</v>
      </c>
      <c r="E457" s="9">
        <v>2827</v>
      </c>
      <c r="F457" s="10">
        <f t="shared" si="7"/>
        <v>2.4824967295937581E-4</v>
      </c>
      <c r="G457" s="11">
        <v>203.00200000000001</v>
      </c>
      <c r="H457" s="12" t="s">
        <v>143</v>
      </c>
      <c r="I457" s="12" t="s">
        <v>25</v>
      </c>
      <c r="L457" s="13" t="s">
        <v>15</v>
      </c>
    </row>
    <row r="458" spans="1:30">
      <c r="A458" s="6" t="e">
        <f t="shared" ca="1" si="6"/>
        <v>#NAME?</v>
      </c>
      <c r="B458" s="46">
        <v>56</v>
      </c>
      <c r="C458" s="47" t="s">
        <v>684</v>
      </c>
      <c r="D458" s="48">
        <v>34646</v>
      </c>
      <c r="E458" s="48">
        <v>38732</v>
      </c>
      <c r="F458" s="49">
        <f t="shared" si="7"/>
        <v>3.4012049285682862E-3</v>
      </c>
      <c r="G458" s="50">
        <v>161.624</v>
      </c>
      <c r="H458" s="51" t="s">
        <v>79</v>
      </c>
      <c r="I458" s="51" t="s">
        <v>45</v>
      </c>
      <c r="J458" s="52">
        <v>43998</v>
      </c>
      <c r="K458" s="24" t="s">
        <v>685</v>
      </c>
      <c r="L458" s="13" t="s">
        <v>15</v>
      </c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>
      <c r="A459" s="53" t="e">
        <f t="shared" ca="1" si="6"/>
        <v>#NAME?</v>
      </c>
      <c r="B459" s="14">
        <v>44</v>
      </c>
      <c r="C459" s="15" t="s">
        <v>686</v>
      </c>
      <c r="D459" s="16">
        <v>41655</v>
      </c>
      <c r="E459" s="16">
        <v>51715</v>
      </c>
      <c r="F459" s="17">
        <f t="shared" si="7"/>
        <v>4.5412917711687732E-3</v>
      </c>
      <c r="G459" s="18">
        <v>142.87799999999999</v>
      </c>
      <c r="H459" s="19" t="s">
        <v>79</v>
      </c>
      <c r="I459" s="19" t="s">
        <v>45</v>
      </c>
      <c r="J459" s="20">
        <v>43999</v>
      </c>
      <c r="K459" s="21" t="s">
        <v>687</v>
      </c>
      <c r="L459" s="13" t="s">
        <v>21</v>
      </c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>
      <c r="A460" s="6" t="e">
        <f t="shared" ca="1" si="6"/>
        <v>#NAME?</v>
      </c>
      <c r="B460" s="46">
        <v>431</v>
      </c>
      <c r="C460" s="47" t="s">
        <v>688</v>
      </c>
      <c r="D460" s="48">
        <v>2314</v>
      </c>
      <c r="E460" s="48">
        <v>2339</v>
      </c>
      <c r="F460" s="49">
        <f t="shared" si="7"/>
        <v>2.0539652814007076E-4</v>
      </c>
      <c r="G460" s="50">
        <v>80.680999999999997</v>
      </c>
      <c r="H460" s="51" t="s">
        <v>73</v>
      </c>
      <c r="I460" s="51" t="s">
        <v>74</v>
      </c>
      <c r="J460" s="52">
        <v>44027</v>
      </c>
      <c r="K460" s="24" t="s">
        <v>446</v>
      </c>
      <c r="L460" s="13" t="s">
        <v>15</v>
      </c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>
      <c r="A461" s="53" t="e">
        <f t="shared" ca="1" si="6"/>
        <v>#NAME?</v>
      </c>
      <c r="B461" s="71">
        <v>400</v>
      </c>
      <c r="C461" s="72" t="s">
        <v>689</v>
      </c>
      <c r="D461" s="73">
        <v>2855</v>
      </c>
      <c r="E461" s="73">
        <v>2693</v>
      </c>
      <c r="F461" s="74">
        <f t="shared" si="7"/>
        <v>2.3648262089833716E-4</v>
      </c>
      <c r="G461" s="75">
        <v>148.601</v>
      </c>
      <c r="H461" s="76" t="s">
        <v>70</v>
      </c>
      <c r="I461" s="76" t="s">
        <v>19</v>
      </c>
      <c r="J461" s="77">
        <v>44390</v>
      </c>
      <c r="K461" s="78" t="s">
        <v>690</v>
      </c>
      <c r="L461" s="13" t="s">
        <v>21</v>
      </c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</row>
    <row r="462" spans="1:30">
      <c r="A462" s="6" t="e">
        <f t="shared" ca="1" si="6"/>
        <v>#NAME?</v>
      </c>
      <c r="B462" s="46">
        <v>156</v>
      </c>
      <c r="C462" s="47" t="s">
        <v>691</v>
      </c>
      <c r="D462" s="48">
        <v>10239</v>
      </c>
      <c r="E462" s="48">
        <v>11053</v>
      </c>
      <c r="F462" s="49">
        <f t="shared" si="7"/>
        <v>9.7060616739298939E-4</v>
      </c>
      <c r="G462" s="50">
        <v>251.483</v>
      </c>
      <c r="H462" s="51" t="s">
        <v>79</v>
      </c>
      <c r="I462" s="51" t="s">
        <v>45</v>
      </c>
      <c r="J462" s="52">
        <v>43998</v>
      </c>
      <c r="K462" s="24" t="s">
        <v>97</v>
      </c>
      <c r="L462" s="13" t="s">
        <v>15</v>
      </c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>
      <c r="A463" s="6" t="e">
        <f t="shared" ca="1" si="6"/>
        <v>#NAME?</v>
      </c>
      <c r="B463" s="46">
        <v>78</v>
      </c>
      <c r="C463" s="47" t="s">
        <v>692</v>
      </c>
      <c r="D463" s="48">
        <v>23855</v>
      </c>
      <c r="E463" s="48">
        <v>28220</v>
      </c>
      <c r="F463" s="49">
        <f t="shared" si="7"/>
        <v>2.4781060385262064E-3</v>
      </c>
      <c r="G463" s="50">
        <v>184.93100000000001</v>
      </c>
      <c r="H463" s="51" t="s">
        <v>170</v>
      </c>
      <c r="I463" s="51" t="s">
        <v>45</v>
      </c>
      <c r="J463" s="52">
        <v>43965</v>
      </c>
      <c r="K463" s="24" t="s">
        <v>244</v>
      </c>
      <c r="L463" s="13" t="s">
        <v>15</v>
      </c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>
      <c r="A464" s="6" t="e">
        <f t="shared" ca="1" si="6"/>
        <v>#NAME?</v>
      </c>
      <c r="B464" s="7">
        <v>95</v>
      </c>
      <c r="C464" s="8" t="s">
        <v>693</v>
      </c>
      <c r="D464" s="9">
        <v>23726</v>
      </c>
      <c r="E464" s="9">
        <v>23906</v>
      </c>
      <c r="F464" s="10">
        <f t="shared" si="7"/>
        <v>2.0992772132178419E-3</v>
      </c>
      <c r="G464" s="11">
        <v>421.40300000000002</v>
      </c>
      <c r="H464" s="12" t="s">
        <v>31</v>
      </c>
      <c r="I464" s="12" t="s">
        <v>19</v>
      </c>
      <c r="L464" s="13" t="s">
        <v>15</v>
      </c>
    </row>
    <row r="465" spans="1:30">
      <c r="A465" s="6" t="e">
        <f t="shared" ca="1" si="6"/>
        <v>#NAME?</v>
      </c>
      <c r="B465" s="46">
        <v>395</v>
      </c>
      <c r="C465" s="47" t="s">
        <v>694</v>
      </c>
      <c r="D465" s="48">
        <v>2912</v>
      </c>
      <c r="E465" s="48">
        <v>2725</v>
      </c>
      <c r="F465" s="49">
        <f t="shared" si="7"/>
        <v>2.3929266318157026E-4</v>
      </c>
      <c r="G465" s="50">
        <v>217.3</v>
      </c>
      <c r="H465" s="51" t="s">
        <v>79</v>
      </c>
      <c r="I465" s="51" t="s">
        <v>45</v>
      </c>
      <c r="J465" s="52">
        <v>43998</v>
      </c>
      <c r="K465" s="24" t="s">
        <v>695</v>
      </c>
      <c r="L465" s="13" t="s">
        <v>15</v>
      </c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>
      <c r="A466" s="6" t="e">
        <f t="shared" ca="1" si="6"/>
        <v>#NAME?</v>
      </c>
      <c r="B466" s="7">
        <v>304</v>
      </c>
      <c r="C466" s="8" t="s">
        <v>696</v>
      </c>
      <c r="D466" s="9">
        <v>4381</v>
      </c>
      <c r="E466" s="9">
        <v>4291</v>
      </c>
      <c r="F466" s="10">
        <f t="shared" si="7"/>
        <v>3.7680910741729102E-4</v>
      </c>
      <c r="G466" s="11">
        <v>180.59899999999999</v>
      </c>
      <c r="H466" s="12" t="s">
        <v>39</v>
      </c>
      <c r="I466" s="12" t="s">
        <v>19</v>
      </c>
      <c r="J466" s="70">
        <v>46180</v>
      </c>
      <c r="K466" s="34" t="s">
        <v>697</v>
      </c>
      <c r="L466" s="13" t="s">
        <v>15</v>
      </c>
    </row>
    <row r="467" spans="1:30">
      <c r="A467" s="6" t="e">
        <f t="shared" ca="1" si="6"/>
        <v>#NAME?</v>
      </c>
      <c r="B467" s="7">
        <v>96</v>
      </c>
      <c r="C467" s="8" t="s">
        <v>101</v>
      </c>
      <c r="D467" s="9">
        <v>23973</v>
      </c>
      <c r="E467" s="9">
        <v>23906</v>
      </c>
      <c r="F467" s="10">
        <f t="shared" si="7"/>
        <v>2.0992772132178419E-3</v>
      </c>
      <c r="G467" s="11">
        <v>268.625</v>
      </c>
      <c r="H467" s="12" t="s">
        <v>101</v>
      </c>
      <c r="I467" s="12" t="s">
        <v>19</v>
      </c>
      <c r="L467" s="13" t="s">
        <v>15</v>
      </c>
    </row>
    <row r="468" spans="1:30">
      <c r="A468" s="6" t="e">
        <f t="shared" ca="1" si="6"/>
        <v>#NAME?</v>
      </c>
      <c r="B468" s="7">
        <v>242</v>
      </c>
      <c r="C468" s="12" t="s">
        <v>698</v>
      </c>
      <c r="D468" s="9">
        <v>5802</v>
      </c>
      <c r="E468" s="9">
        <v>5704</v>
      </c>
      <c r="F468" s="10">
        <f t="shared" si="7"/>
        <v>5.0089003698630338E-4</v>
      </c>
      <c r="G468" s="11">
        <v>268.41699999999997</v>
      </c>
      <c r="H468" s="12" t="s">
        <v>39</v>
      </c>
      <c r="I468" s="12" t="s">
        <v>19</v>
      </c>
      <c r="J468" s="70">
        <v>46179</v>
      </c>
      <c r="K468" s="34" t="s">
        <v>699</v>
      </c>
      <c r="L468" s="13" t="s">
        <v>15</v>
      </c>
    </row>
    <row r="469" spans="1:30">
      <c r="A469" s="6" t="e">
        <f t="shared" ca="1" si="6"/>
        <v>#NAME?</v>
      </c>
      <c r="B469" s="25">
        <v>76</v>
      </c>
      <c r="C469" s="26" t="s">
        <v>700</v>
      </c>
      <c r="D469" s="27">
        <v>25811</v>
      </c>
      <c r="E469" s="27">
        <v>29538</v>
      </c>
      <c r="F469" s="28">
        <f t="shared" si="7"/>
        <v>2.5938446550668706E-3</v>
      </c>
      <c r="G469" s="29">
        <v>817.625</v>
      </c>
      <c r="H469" s="30" t="s">
        <v>84</v>
      </c>
      <c r="I469" s="30" t="s">
        <v>45</v>
      </c>
      <c r="J469" s="31">
        <v>44388</v>
      </c>
      <c r="K469" s="32" t="s">
        <v>701</v>
      </c>
      <c r="L469" s="13" t="s">
        <v>15</v>
      </c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spans="1:30">
      <c r="A470" s="6" t="e">
        <f t="shared" ca="1" si="6"/>
        <v>#NAME?</v>
      </c>
      <c r="B470" s="7">
        <v>248</v>
      </c>
      <c r="C470" s="12" t="s">
        <v>702</v>
      </c>
      <c r="D470" s="9">
        <v>5901</v>
      </c>
      <c r="E470" s="9">
        <v>5678</v>
      </c>
      <c r="F470" s="10">
        <f t="shared" si="7"/>
        <v>4.9860687763117646E-4</v>
      </c>
      <c r="G470" s="11">
        <v>181.19800000000001</v>
      </c>
      <c r="H470" s="12" t="s">
        <v>31</v>
      </c>
      <c r="I470" s="12" t="s">
        <v>19</v>
      </c>
      <c r="L470" s="13" t="s">
        <v>15</v>
      </c>
    </row>
    <row r="471" spans="1:30">
      <c r="A471" s="6" t="e">
        <f t="shared" ca="1" si="6"/>
        <v>#NAME?</v>
      </c>
      <c r="B471" s="7">
        <v>294</v>
      </c>
      <c r="C471" s="12" t="s">
        <v>703</v>
      </c>
      <c r="D471" s="9">
        <v>4395</v>
      </c>
      <c r="E471" s="9">
        <v>4560</v>
      </c>
      <c r="F471" s="10">
        <f t="shared" si="7"/>
        <v>4.0043102536071941E-4</v>
      </c>
      <c r="G471" s="11">
        <v>217.30199999999999</v>
      </c>
      <c r="H471" s="12" t="s">
        <v>112</v>
      </c>
      <c r="I471" s="12" t="s">
        <v>19</v>
      </c>
      <c r="L471" s="13" t="s">
        <v>15</v>
      </c>
    </row>
    <row r="472" spans="1:30">
      <c r="A472" s="6" t="e">
        <f t="shared" ca="1" si="6"/>
        <v>#NAME?</v>
      </c>
      <c r="B472" s="14">
        <v>491</v>
      </c>
      <c r="C472" s="15" t="s">
        <v>704</v>
      </c>
      <c r="D472" s="16">
        <v>1574</v>
      </c>
      <c r="E472" s="16">
        <v>1486</v>
      </c>
      <c r="F472" s="17">
        <f t="shared" si="7"/>
        <v>1.3049133852763796E-4</v>
      </c>
      <c r="G472" s="18">
        <v>135.24299999999999</v>
      </c>
      <c r="H472" s="19" t="s">
        <v>109</v>
      </c>
      <c r="I472" s="19" t="s">
        <v>19</v>
      </c>
      <c r="J472" s="20">
        <v>44050</v>
      </c>
      <c r="K472" s="21" t="s">
        <v>705</v>
      </c>
      <c r="L472" s="13" t="s">
        <v>21</v>
      </c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>
      <c r="A473" s="6" t="e">
        <f t="shared" ca="1" si="6"/>
        <v>#NAME?</v>
      </c>
      <c r="B473" s="7">
        <v>94</v>
      </c>
      <c r="C473" s="12" t="s">
        <v>706</v>
      </c>
      <c r="D473" s="9">
        <v>22286</v>
      </c>
      <c r="E473" s="9">
        <v>23948</v>
      </c>
      <c r="F473" s="10">
        <f t="shared" si="7"/>
        <v>2.1029653937145853E-3</v>
      </c>
      <c r="G473" s="11">
        <v>2253.23</v>
      </c>
      <c r="H473" s="12" t="s">
        <v>181</v>
      </c>
      <c r="I473" s="12" t="s">
        <v>25</v>
      </c>
      <c r="L473" s="13" t="s">
        <v>15</v>
      </c>
    </row>
    <row r="474" spans="1:30">
      <c r="A474" s="6" t="e">
        <f t="shared" ca="1" si="6"/>
        <v>#NAME?</v>
      </c>
      <c r="B474" s="46">
        <v>279</v>
      </c>
      <c r="C474" s="47" t="s">
        <v>707</v>
      </c>
      <c r="D474" s="48">
        <v>3919</v>
      </c>
      <c r="E474" s="48">
        <v>4767</v>
      </c>
      <c r="F474" s="49">
        <f t="shared" si="7"/>
        <v>4.1860848638038367E-4</v>
      </c>
      <c r="G474" s="50">
        <v>59.447000000000003</v>
      </c>
      <c r="H474" s="51" t="s">
        <v>44</v>
      </c>
      <c r="I474" s="51" t="s">
        <v>45</v>
      </c>
      <c r="J474" s="52">
        <v>43984</v>
      </c>
      <c r="K474" s="24" t="s">
        <v>708</v>
      </c>
      <c r="L474" s="13" t="s">
        <v>15</v>
      </c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>
      <c r="A475" s="6" t="e">
        <f t="shared" ca="1" si="6"/>
        <v>#NAME?</v>
      </c>
      <c r="B475" s="7">
        <v>186</v>
      </c>
      <c r="C475" s="8" t="s">
        <v>709</v>
      </c>
      <c r="D475" s="9">
        <v>8557</v>
      </c>
      <c r="E475" s="9">
        <v>7893</v>
      </c>
      <c r="F475" s="10">
        <f t="shared" si="7"/>
        <v>6.9311449192371898E-4</v>
      </c>
      <c r="G475" s="11">
        <v>307.70999999999998</v>
      </c>
      <c r="H475" s="12" t="s">
        <v>31</v>
      </c>
      <c r="I475" s="12" t="s">
        <v>19</v>
      </c>
      <c r="L475" s="13" t="s">
        <v>15</v>
      </c>
    </row>
    <row r="476" spans="1:30">
      <c r="A476" s="6" t="e">
        <f t="shared" ca="1" si="6"/>
        <v>#NAME?</v>
      </c>
      <c r="B476" s="46">
        <v>338</v>
      </c>
      <c r="C476" s="47" t="s">
        <v>710</v>
      </c>
      <c r="D476" s="48">
        <v>3522</v>
      </c>
      <c r="E476" s="48">
        <v>3455</v>
      </c>
      <c r="F476" s="49">
        <f t="shared" si="7"/>
        <v>3.0339675276782577E-4</v>
      </c>
      <c r="G476" s="50">
        <v>253.63499999999999</v>
      </c>
      <c r="H476" s="51" t="s">
        <v>77</v>
      </c>
      <c r="I476" s="51" t="s">
        <v>51</v>
      </c>
      <c r="J476" s="52">
        <v>43961</v>
      </c>
      <c r="K476" s="24" t="s">
        <v>406</v>
      </c>
      <c r="L476" s="13" t="s">
        <v>15</v>
      </c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>
      <c r="A477" s="6" t="e">
        <f t="shared" ca="1" si="6"/>
        <v>#NAME?</v>
      </c>
      <c r="B477" s="7">
        <v>451</v>
      </c>
      <c r="C477" s="8" t="s">
        <v>711</v>
      </c>
      <c r="D477" s="9">
        <v>2296</v>
      </c>
      <c r="E477" s="9">
        <v>2049</v>
      </c>
      <c r="F477" s="10">
        <f t="shared" si="7"/>
        <v>1.7993051994827063E-4</v>
      </c>
      <c r="G477" s="11">
        <v>125.876</v>
      </c>
      <c r="H477" s="12" t="s">
        <v>134</v>
      </c>
      <c r="I477" s="12" t="s">
        <v>19</v>
      </c>
      <c r="L477" s="13" t="s">
        <v>15</v>
      </c>
    </row>
    <row r="478" spans="1:30">
      <c r="A478" s="53" t="e">
        <f t="shared" ca="1" si="6"/>
        <v>#NAME?</v>
      </c>
      <c r="B478" s="14">
        <v>496</v>
      </c>
      <c r="C478" s="15" t="s">
        <v>712</v>
      </c>
      <c r="D478" s="16">
        <v>1487</v>
      </c>
      <c r="E478" s="16">
        <v>1192</v>
      </c>
      <c r="F478" s="17">
        <f t="shared" si="7"/>
        <v>1.0467407505043368E-4</v>
      </c>
      <c r="G478" s="18">
        <v>131.154</v>
      </c>
      <c r="H478" s="19" t="s">
        <v>56</v>
      </c>
      <c r="I478" s="19" t="s">
        <v>57</v>
      </c>
      <c r="J478" s="20">
        <v>43985</v>
      </c>
      <c r="K478" s="21" t="s">
        <v>20</v>
      </c>
      <c r="L478" s="13" t="s">
        <v>21</v>
      </c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>
      <c r="A479" s="6" t="e">
        <f t="shared" ca="1" si="6"/>
        <v>#NAME?</v>
      </c>
      <c r="B479" s="7">
        <v>427</v>
      </c>
      <c r="C479" s="12" t="s">
        <v>713</v>
      </c>
      <c r="D479" s="9">
        <v>2453</v>
      </c>
      <c r="E479" s="9">
        <v>2354</v>
      </c>
      <c r="F479" s="10">
        <f t="shared" si="7"/>
        <v>2.0671373546033629E-4</v>
      </c>
      <c r="G479" s="11">
        <v>602.38699999999994</v>
      </c>
      <c r="H479" s="12" t="s">
        <v>181</v>
      </c>
      <c r="I479" s="12" t="s">
        <v>25</v>
      </c>
      <c r="L479" s="13" t="s">
        <v>15</v>
      </c>
    </row>
    <row r="480" spans="1:30">
      <c r="A480" s="6" t="e">
        <f t="shared" ca="1" si="6"/>
        <v>#NAME?</v>
      </c>
      <c r="B480" s="7">
        <v>16</v>
      </c>
      <c r="C480" s="8" t="s">
        <v>714</v>
      </c>
      <c r="D480" s="9">
        <v>125507</v>
      </c>
      <c r="E480" s="9">
        <v>126970</v>
      </c>
      <c r="F480" s="10">
        <f t="shared" si="7"/>
        <v>1.1149720896940909E-2</v>
      </c>
      <c r="G480" s="11">
        <v>5702.098</v>
      </c>
      <c r="H480" s="12" t="s">
        <v>33</v>
      </c>
      <c r="I480" s="12" t="s">
        <v>14</v>
      </c>
      <c r="L480" s="13" t="s">
        <v>15</v>
      </c>
    </row>
    <row r="481" spans="1:30">
      <c r="A481" s="6" t="e">
        <f t="shared" ca="1" si="6"/>
        <v>#NAME?</v>
      </c>
      <c r="B481" s="46">
        <v>34</v>
      </c>
      <c r="C481" s="47" t="s">
        <v>125</v>
      </c>
      <c r="D481" s="48">
        <v>61345</v>
      </c>
      <c r="E481" s="48">
        <v>66218</v>
      </c>
      <c r="F481" s="49">
        <f t="shared" si="7"/>
        <v>5.814855622222833E-3</v>
      </c>
      <c r="G481" s="50">
        <v>2124.422</v>
      </c>
      <c r="H481" s="51" t="s">
        <v>125</v>
      </c>
      <c r="I481" s="51" t="s">
        <v>57</v>
      </c>
      <c r="J481" s="52">
        <v>44016</v>
      </c>
      <c r="K481" s="24" t="s">
        <v>715</v>
      </c>
      <c r="L481" s="13" t="s">
        <v>15</v>
      </c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>
      <c r="A482" s="79" t="e">
        <f t="shared" ca="1" si="6"/>
        <v>#NAME?</v>
      </c>
      <c r="B482" s="25">
        <v>148</v>
      </c>
      <c r="C482" s="26" t="s">
        <v>716</v>
      </c>
      <c r="D482" s="27">
        <v>11077</v>
      </c>
      <c r="E482" s="27">
        <v>11781</v>
      </c>
      <c r="F482" s="28">
        <f t="shared" si="7"/>
        <v>1.0345346293365429E-3</v>
      </c>
      <c r="G482" s="29">
        <v>328.27199999999999</v>
      </c>
      <c r="H482" s="30" t="s">
        <v>82</v>
      </c>
      <c r="I482" s="30" t="s">
        <v>74</v>
      </c>
      <c r="J482" s="31">
        <v>44790</v>
      </c>
      <c r="K482" s="32" t="s">
        <v>97</v>
      </c>
      <c r="L482" s="80" t="s">
        <v>15</v>
      </c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spans="1:30">
      <c r="A483" s="6" t="e">
        <f t="shared" ca="1" si="6"/>
        <v>#NAME?</v>
      </c>
      <c r="B483" s="46">
        <v>240</v>
      </c>
      <c r="C483" s="47" t="s">
        <v>717</v>
      </c>
      <c r="D483" s="48">
        <v>5121</v>
      </c>
      <c r="E483" s="48">
        <v>5913</v>
      </c>
      <c r="F483" s="49">
        <f t="shared" si="7"/>
        <v>5.1924312564866971E-4</v>
      </c>
      <c r="G483" s="50">
        <v>45.085000000000001</v>
      </c>
      <c r="H483" s="51" t="s">
        <v>44</v>
      </c>
      <c r="I483" s="51" t="s">
        <v>45</v>
      </c>
      <c r="J483" s="52">
        <v>43980</v>
      </c>
      <c r="K483" s="24" t="s">
        <v>567</v>
      </c>
      <c r="L483" s="13" t="s">
        <v>15</v>
      </c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>
      <c r="A484" s="6" t="e">
        <f t="shared" ca="1" si="6"/>
        <v>#NAME?</v>
      </c>
      <c r="B484" s="7">
        <v>336</v>
      </c>
      <c r="C484" s="8" t="s">
        <v>718</v>
      </c>
      <c r="D484" s="9">
        <v>3253</v>
      </c>
      <c r="E484" s="9">
        <v>3479</v>
      </c>
      <c r="F484" s="10">
        <f t="shared" si="7"/>
        <v>3.0550428448025062E-4</v>
      </c>
      <c r="G484" s="11">
        <v>329.72699999999998</v>
      </c>
      <c r="H484" s="12" t="s">
        <v>84</v>
      </c>
      <c r="I484" s="12" t="s">
        <v>45</v>
      </c>
      <c r="L484" s="13" t="s">
        <v>15</v>
      </c>
    </row>
    <row r="485" spans="1:30">
      <c r="A485" s="6" t="e">
        <f t="shared" ca="1" si="6"/>
        <v>#NAME?</v>
      </c>
      <c r="B485" s="14">
        <v>445</v>
      </c>
      <c r="C485" s="19" t="s">
        <v>719</v>
      </c>
      <c r="D485" s="16">
        <v>1984</v>
      </c>
      <c r="E485" s="16">
        <v>2104</v>
      </c>
      <c r="F485" s="17">
        <f t="shared" si="7"/>
        <v>1.8476028012257755E-4</v>
      </c>
      <c r="G485" s="18">
        <v>64.905000000000001</v>
      </c>
      <c r="H485" s="19" t="s">
        <v>18</v>
      </c>
      <c r="I485" s="19" t="s">
        <v>19</v>
      </c>
      <c r="J485" s="20">
        <v>43985</v>
      </c>
      <c r="K485" s="21" t="s">
        <v>720</v>
      </c>
      <c r="L485" s="13" t="s">
        <v>21</v>
      </c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>
      <c r="A486" s="6" t="e">
        <f t="shared" ca="1" si="6"/>
        <v>#NAME?</v>
      </c>
      <c r="B486" s="25">
        <v>31</v>
      </c>
      <c r="C486" s="26" t="s">
        <v>721</v>
      </c>
      <c r="D486" s="27">
        <v>65964</v>
      </c>
      <c r="E486" s="27">
        <v>71554</v>
      </c>
      <c r="F486" s="28">
        <f t="shared" si="7"/>
        <v>6.2834301729519553E-3</v>
      </c>
      <c r="G486" s="29">
        <v>771.80600000000004</v>
      </c>
      <c r="H486" s="30" t="s">
        <v>82</v>
      </c>
      <c r="I486" s="30" t="s">
        <v>74</v>
      </c>
      <c r="J486" s="31">
        <v>44388</v>
      </c>
      <c r="K486" s="32" t="s">
        <v>722</v>
      </c>
      <c r="L486" s="13" t="s">
        <v>15</v>
      </c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spans="1:30">
      <c r="A487" s="79" t="e">
        <f t="shared" ca="1" si="6"/>
        <v>#NAME?</v>
      </c>
      <c r="B487" s="25">
        <v>82</v>
      </c>
      <c r="C487" s="26" t="s">
        <v>723</v>
      </c>
      <c r="D487" s="27">
        <v>23986</v>
      </c>
      <c r="E487" s="27">
        <v>26863</v>
      </c>
      <c r="F487" s="28">
        <f t="shared" si="7"/>
        <v>2.358942682952852E-3</v>
      </c>
      <c r="G487" s="29">
        <v>309.62099999999998</v>
      </c>
      <c r="H487" s="30" t="s">
        <v>82</v>
      </c>
      <c r="I487" s="30" t="s">
        <v>74</v>
      </c>
      <c r="J487" s="31">
        <v>44790</v>
      </c>
      <c r="K487" s="32" t="s">
        <v>724</v>
      </c>
      <c r="L487" s="80" t="s">
        <v>15</v>
      </c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spans="1:30">
      <c r="A488" s="6" t="e">
        <f t="shared" ca="1" si="6"/>
        <v>#NAME?</v>
      </c>
      <c r="B488" s="46">
        <v>85</v>
      </c>
      <c r="C488" s="47" t="s">
        <v>725</v>
      </c>
      <c r="D488" s="48">
        <v>22815</v>
      </c>
      <c r="E488" s="48">
        <v>26241</v>
      </c>
      <c r="F488" s="49">
        <f t="shared" si="7"/>
        <v>2.3043224860725083E-3</v>
      </c>
      <c r="G488" s="50">
        <v>289.464</v>
      </c>
      <c r="H488" s="51" t="s">
        <v>62</v>
      </c>
      <c r="I488" s="51" t="s">
        <v>57</v>
      </c>
      <c r="J488" s="52">
        <v>43985</v>
      </c>
      <c r="K488" s="24" t="s">
        <v>198</v>
      </c>
      <c r="L488" s="13" t="s">
        <v>15</v>
      </c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>
      <c r="A489" s="6" t="e">
        <f t="shared" ca="1" si="6"/>
        <v>#NAME?</v>
      </c>
      <c r="B489" s="25">
        <v>470</v>
      </c>
      <c r="C489" s="30" t="s">
        <v>726</v>
      </c>
      <c r="D489" s="27">
        <v>1974</v>
      </c>
      <c r="E489" s="27">
        <v>1835</v>
      </c>
      <c r="F489" s="28">
        <f t="shared" si="7"/>
        <v>1.6113836217914915E-4</v>
      </c>
      <c r="G489" s="29">
        <v>113.622</v>
      </c>
      <c r="H489" s="30" t="s">
        <v>73</v>
      </c>
      <c r="I489" s="30" t="s">
        <v>74</v>
      </c>
      <c r="J489" s="31">
        <v>44025</v>
      </c>
      <c r="K489" s="32" t="s">
        <v>89</v>
      </c>
      <c r="L489" s="13" t="s">
        <v>15</v>
      </c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spans="1:30">
      <c r="A490" s="6" t="e">
        <f t="shared" ca="1" si="6"/>
        <v>#NAME?</v>
      </c>
      <c r="B490" s="71">
        <v>273</v>
      </c>
      <c r="C490" s="72" t="s">
        <v>727</v>
      </c>
      <c r="D490" s="73">
        <v>5311</v>
      </c>
      <c r="E490" s="73">
        <v>4825</v>
      </c>
      <c r="F490" s="74">
        <f t="shared" si="7"/>
        <v>4.2370168801874366E-4</v>
      </c>
      <c r="G490" s="75">
        <v>268.072</v>
      </c>
      <c r="H490" s="76" t="s">
        <v>70</v>
      </c>
      <c r="I490" s="76" t="s">
        <v>19</v>
      </c>
      <c r="J490" s="77">
        <v>44390</v>
      </c>
      <c r="K490" s="78" t="s">
        <v>563</v>
      </c>
      <c r="L490" s="13" t="s">
        <v>21</v>
      </c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spans="1:30">
      <c r="A491" s="6" t="e">
        <f t="shared" ca="1" si="6"/>
        <v>#NAME?</v>
      </c>
      <c r="B491" s="46">
        <v>7</v>
      </c>
      <c r="C491" s="47" t="s">
        <v>728</v>
      </c>
      <c r="D491" s="48">
        <v>239384</v>
      </c>
      <c r="E491" s="48">
        <v>255224</v>
      </c>
      <c r="F491" s="49">
        <f t="shared" si="7"/>
        <v>2.2412194740496546E-2</v>
      </c>
      <c r="G491" s="50">
        <v>1496.5150000000001</v>
      </c>
      <c r="H491" s="51" t="s">
        <v>48</v>
      </c>
      <c r="I491" s="51" t="s">
        <v>45</v>
      </c>
      <c r="J491" s="52">
        <v>43997</v>
      </c>
      <c r="K491" s="24" t="s">
        <v>68</v>
      </c>
      <c r="L491" s="13" t="s">
        <v>15</v>
      </c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>
      <c r="A492" s="6" t="e">
        <f t="shared" ca="1" si="6"/>
        <v>#NAME?</v>
      </c>
      <c r="B492" s="7">
        <v>281</v>
      </c>
      <c r="C492" s="12" t="s">
        <v>729</v>
      </c>
      <c r="D492" s="9">
        <v>5285</v>
      </c>
      <c r="E492" s="9">
        <v>4745</v>
      </c>
      <c r="F492" s="10">
        <f t="shared" si="7"/>
        <v>4.1667658231066089E-4</v>
      </c>
      <c r="G492" s="11">
        <v>193.02500000000001</v>
      </c>
      <c r="H492" s="12" t="s">
        <v>39</v>
      </c>
      <c r="I492" s="12" t="s">
        <v>19</v>
      </c>
      <c r="L492" s="13" t="s">
        <v>15</v>
      </c>
    </row>
    <row r="493" spans="1:30">
      <c r="A493" s="6" t="e">
        <f t="shared" ca="1" si="6"/>
        <v>#NAME?</v>
      </c>
      <c r="B493" s="46">
        <v>378</v>
      </c>
      <c r="C493" s="47" t="s">
        <v>730</v>
      </c>
      <c r="D493" s="48">
        <v>3036</v>
      </c>
      <c r="E493" s="48">
        <v>2904</v>
      </c>
      <c r="F493" s="49">
        <f t="shared" si="7"/>
        <v>2.5501133720340553E-4</v>
      </c>
      <c r="G493" s="50">
        <v>238.13300000000001</v>
      </c>
      <c r="H493" s="51" t="s">
        <v>227</v>
      </c>
      <c r="I493" s="51" t="s">
        <v>19</v>
      </c>
      <c r="J493" s="52">
        <v>44171</v>
      </c>
      <c r="K493" s="24" t="s">
        <v>731</v>
      </c>
      <c r="L493" s="13" t="s">
        <v>15</v>
      </c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>
      <c r="A494" s="6" t="e">
        <f t="shared" ca="1" si="6"/>
        <v>#NAME?</v>
      </c>
      <c r="B494" s="46">
        <v>344</v>
      </c>
      <c r="C494" s="47" t="s">
        <v>732</v>
      </c>
      <c r="D494" s="48">
        <v>3207</v>
      </c>
      <c r="E494" s="48">
        <v>3374</v>
      </c>
      <c r="F494" s="49">
        <f t="shared" si="7"/>
        <v>2.9628383323839196E-4</v>
      </c>
      <c r="G494" s="50">
        <v>107.652</v>
      </c>
      <c r="H494" s="51" t="s">
        <v>62</v>
      </c>
      <c r="I494" s="51" t="s">
        <v>57</v>
      </c>
      <c r="J494" s="52">
        <v>43985</v>
      </c>
      <c r="K494" s="24" t="s">
        <v>20</v>
      </c>
      <c r="L494" s="13" t="s">
        <v>15</v>
      </c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>
      <c r="A495" s="53" t="e">
        <f t="shared" ca="1" si="6"/>
        <v>#NAME?</v>
      </c>
      <c r="B495" s="71">
        <v>446</v>
      </c>
      <c r="C495" s="72" t="s">
        <v>733</v>
      </c>
      <c r="D495" s="73">
        <v>2152</v>
      </c>
      <c r="E495" s="73">
        <v>2102</v>
      </c>
      <c r="F495" s="74">
        <f t="shared" si="7"/>
        <v>1.8458465247987547E-4</v>
      </c>
      <c r="G495" s="75">
        <v>151.69499999999999</v>
      </c>
      <c r="H495" s="76" t="s">
        <v>18</v>
      </c>
      <c r="I495" s="76" t="s">
        <v>19</v>
      </c>
      <c r="J495" s="77">
        <v>44389</v>
      </c>
      <c r="K495" s="78" t="s">
        <v>734</v>
      </c>
      <c r="L495" s="13" t="s">
        <v>21</v>
      </c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</row>
    <row r="496" spans="1:30">
      <c r="A496" s="6" t="e">
        <f t="shared" ca="1" si="6"/>
        <v>#NAME?</v>
      </c>
      <c r="B496" s="46">
        <v>302</v>
      </c>
      <c r="C496" s="47" t="s">
        <v>735</v>
      </c>
      <c r="D496" s="48">
        <v>4221</v>
      </c>
      <c r="E496" s="48">
        <v>4353</v>
      </c>
      <c r="F496" s="49">
        <f t="shared" si="7"/>
        <v>3.8225356434105516E-4</v>
      </c>
      <c r="G496" s="50">
        <v>181.06100000000001</v>
      </c>
      <c r="H496" s="51" t="s">
        <v>18</v>
      </c>
      <c r="I496" s="51" t="s">
        <v>19</v>
      </c>
      <c r="J496" s="52">
        <v>44026</v>
      </c>
      <c r="K496" s="24" t="s">
        <v>239</v>
      </c>
      <c r="L496" s="13" t="s">
        <v>15</v>
      </c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>
      <c r="A497" s="6" t="e">
        <f t="shared" ca="1" si="6"/>
        <v>#NAME?</v>
      </c>
      <c r="B497" s="7">
        <v>305</v>
      </c>
      <c r="C497" s="8" t="s">
        <v>736</v>
      </c>
      <c r="D497" s="9">
        <v>4221</v>
      </c>
      <c r="E497" s="9">
        <v>4283</v>
      </c>
      <c r="F497" s="10">
        <f t="shared" si="7"/>
        <v>3.7610659684648274E-4</v>
      </c>
      <c r="G497" s="11">
        <v>508.27800000000002</v>
      </c>
      <c r="H497" s="12" t="s">
        <v>143</v>
      </c>
      <c r="I497" s="12" t="s">
        <v>25</v>
      </c>
      <c r="K497" s="34"/>
      <c r="L497" s="13" t="s">
        <v>15</v>
      </c>
    </row>
    <row r="498" spans="1:30">
      <c r="A498" s="6" t="e">
        <f t="shared" ca="1" si="6"/>
        <v>#NAME?</v>
      </c>
      <c r="B498" s="7">
        <v>391</v>
      </c>
      <c r="C498" s="8" t="s">
        <v>737</v>
      </c>
      <c r="D498" s="9">
        <v>2832</v>
      </c>
      <c r="E498" s="9">
        <v>2766</v>
      </c>
      <c r="F498" s="10">
        <f t="shared" si="7"/>
        <v>2.4289302985696271E-4</v>
      </c>
      <c r="G498" s="11">
        <v>119.327</v>
      </c>
      <c r="H498" s="12" t="s">
        <v>39</v>
      </c>
      <c r="I498" s="12" t="s">
        <v>19</v>
      </c>
      <c r="L498" s="13" t="s">
        <v>15</v>
      </c>
    </row>
    <row r="499" spans="1:30">
      <c r="A499" s="53" t="e">
        <f t="shared" ca="1" si="6"/>
        <v>#NAME?</v>
      </c>
      <c r="B499" s="14">
        <v>488</v>
      </c>
      <c r="C499" s="19" t="s">
        <v>738</v>
      </c>
      <c r="D499" s="16">
        <v>1569</v>
      </c>
      <c r="E499" s="16">
        <v>1565</v>
      </c>
      <c r="F499" s="17">
        <f t="shared" si="7"/>
        <v>1.374286304143697E-4</v>
      </c>
      <c r="G499" s="18">
        <v>77.63</v>
      </c>
      <c r="H499" s="19" t="s">
        <v>56</v>
      </c>
      <c r="I499" s="19" t="s">
        <v>57</v>
      </c>
      <c r="J499" s="20">
        <v>43985</v>
      </c>
      <c r="K499" s="21" t="s">
        <v>97</v>
      </c>
      <c r="L499" s="13" t="s">
        <v>21</v>
      </c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>
      <c r="A500" s="6" t="e">
        <f t="shared" ca="1" si="6"/>
        <v>#NAME?</v>
      </c>
      <c r="B500" s="7">
        <v>384</v>
      </c>
      <c r="C500" s="8" t="s">
        <v>739</v>
      </c>
      <c r="D500" s="9">
        <v>2759</v>
      </c>
      <c r="E500" s="9">
        <v>2847</v>
      </c>
      <c r="F500" s="10">
        <f t="shared" si="7"/>
        <v>2.5000594938639651E-4</v>
      </c>
      <c r="G500" s="11">
        <v>90.022000000000006</v>
      </c>
      <c r="H500" s="12" t="s">
        <v>101</v>
      </c>
      <c r="I500" s="12" t="s">
        <v>19</v>
      </c>
      <c r="L500" s="13" t="s">
        <v>15</v>
      </c>
    </row>
    <row r="501" spans="1:30">
      <c r="A501" s="6" t="e">
        <f t="shared" ca="1" si="6"/>
        <v>#NAME?</v>
      </c>
      <c r="B501" s="46">
        <v>355</v>
      </c>
      <c r="C501" s="51" t="s">
        <v>740</v>
      </c>
      <c r="D501" s="48">
        <v>3485</v>
      </c>
      <c r="E501" s="48">
        <v>3177</v>
      </c>
      <c r="F501" s="49">
        <f t="shared" si="7"/>
        <v>2.7898451043223806E-4</v>
      </c>
      <c r="G501" s="50">
        <v>258.31200000000001</v>
      </c>
      <c r="H501" s="51" t="s">
        <v>134</v>
      </c>
      <c r="I501" s="51" t="s">
        <v>19</v>
      </c>
      <c r="J501" s="52">
        <v>44170</v>
      </c>
      <c r="K501" s="24" t="s">
        <v>741</v>
      </c>
      <c r="L501" s="13" t="s">
        <v>15</v>
      </c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>
      <c r="A502" s="53" t="e">
        <f t="shared" ca="1" si="6"/>
        <v>#NAME?</v>
      </c>
      <c r="B502" s="14">
        <v>367</v>
      </c>
      <c r="C502" s="15" t="s">
        <v>742</v>
      </c>
      <c r="D502" s="16">
        <v>2793</v>
      </c>
      <c r="E502" s="16">
        <v>2998</v>
      </c>
      <c r="F502" s="17">
        <f t="shared" si="7"/>
        <v>2.6326583641040279E-4</v>
      </c>
      <c r="G502" s="18">
        <v>63.664999999999999</v>
      </c>
      <c r="H502" s="19" t="s">
        <v>73</v>
      </c>
      <c r="I502" s="19" t="s">
        <v>74</v>
      </c>
      <c r="J502" s="20">
        <v>44025</v>
      </c>
      <c r="K502" s="21" t="s">
        <v>350</v>
      </c>
      <c r="L502" s="13" t="s">
        <v>21</v>
      </c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>
      <c r="A503" s="53" t="e">
        <f t="shared" ca="1" si="6"/>
        <v>#NAME?</v>
      </c>
      <c r="B503" s="14">
        <v>118</v>
      </c>
      <c r="C503" s="19" t="s">
        <v>743</v>
      </c>
      <c r="D503" s="16">
        <v>12405</v>
      </c>
      <c r="E503" s="16">
        <v>16408</v>
      </c>
      <c r="F503" s="17">
        <f t="shared" si="7"/>
        <v>1.4408491807277816E-3</v>
      </c>
      <c r="G503" s="18">
        <v>60.798999999999999</v>
      </c>
      <c r="H503" s="19" t="s">
        <v>79</v>
      </c>
      <c r="I503" s="19" t="s">
        <v>45</v>
      </c>
      <c r="J503" s="20">
        <v>43999</v>
      </c>
      <c r="K503" s="21" t="s">
        <v>272</v>
      </c>
      <c r="L503" s="13" t="s">
        <v>21</v>
      </c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5.75" customHeight="1">
      <c r="D504" s="100"/>
      <c r="E504" s="100">
        <f t="shared" ref="E504:G504" si="8">SUM(E2:E503)</f>
        <v>11387729</v>
      </c>
      <c r="F504" s="100">
        <f t="shared" si="8"/>
        <v>1</v>
      </c>
      <c r="G504" s="100">
        <f t="shared" si="8"/>
        <v>268637.84999999986</v>
      </c>
      <c r="H504" s="100"/>
      <c r="L504" s="13"/>
    </row>
    <row r="505" spans="1:30" ht="15.75" customHeight="1">
      <c r="D505" s="100"/>
      <c r="E505" s="100"/>
    </row>
    <row r="543" spans="4:5" ht="15.75" customHeight="1">
      <c r="D543" s="100"/>
      <c r="E543" s="100"/>
    </row>
    <row r="544" spans="4:5" ht="15.75" customHeight="1">
      <c r="D544" s="100"/>
      <c r="E544" s="100"/>
    </row>
    <row r="545" spans="4:5" ht="15.75" customHeight="1">
      <c r="D545" s="100"/>
      <c r="E545" s="100"/>
    </row>
    <row r="546" spans="4:5" ht="15.75" customHeight="1">
      <c r="D546" s="100"/>
      <c r="E546" s="100"/>
    </row>
    <row r="547" spans="4:5" ht="15.75" customHeight="1">
      <c r="D547" s="100"/>
      <c r="E547" s="100"/>
    </row>
    <row r="548" spans="4:5" ht="15.75" customHeight="1">
      <c r="D548" s="100"/>
      <c r="E548" s="100"/>
    </row>
    <row r="549" spans="4:5" ht="15.75" customHeight="1">
      <c r="D549" s="100"/>
      <c r="E549" s="100"/>
    </row>
    <row r="550" spans="4:5" ht="15.75" customHeight="1">
      <c r="D550" s="100"/>
      <c r="E550" s="100"/>
    </row>
    <row r="551" spans="4:5" ht="15.75" customHeight="1">
      <c r="D551" s="100"/>
      <c r="E551" s="100"/>
    </row>
    <row r="552" spans="4:5" ht="15.75" customHeight="1">
      <c r="D552" s="100"/>
      <c r="E552" s="100"/>
    </row>
    <row r="553" spans="4:5" ht="15.75" customHeight="1">
      <c r="D553" s="100"/>
      <c r="E553" s="100"/>
    </row>
    <row r="554" spans="4:5" ht="15.75" customHeight="1">
      <c r="D554" s="100"/>
      <c r="E554" s="100"/>
    </row>
    <row r="555" spans="4:5" ht="15.75" customHeight="1">
      <c r="D555" s="100"/>
      <c r="E555" s="100"/>
    </row>
    <row r="556" spans="4:5" ht="15.75" customHeight="1">
      <c r="D556" s="100"/>
      <c r="E556" s="100"/>
    </row>
    <row r="557" spans="4:5" ht="15.75" customHeight="1">
      <c r="D557" s="100"/>
      <c r="E557" s="100"/>
    </row>
    <row r="558" spans="4:5" ht="15.75" customHeight="1">
      <c r="D558" s="100"/>
      <c r="E558" s="100"/>
    </row>
    <row r="559" spans="4:5" ht="15.75" customHeight="1">
      <c r="D559" s="100"/>
      <c r="E559" s="100"/>
    </row>
    <row r="560" spans="4:5" ht="15.75" customHeight="1">
      <c r="D560" s="100"/>
      <c r="E560" s="100"/>
    </row>
    <row r="561" spans="4:5" ht="15.75" customHeight="1">
      <c r="D561" s="100"/>
      <c r="E561" s="100"/>
    </row>
    <row r="562" spans="4:5" ht="15.75" customHeight="1">
      <c r="D562" s="100"/>
      <c r="E562" s="100"/>
    </row>
    <row r="563" spans="4:5" ht="15.75" customHeight="1">
      <c r="D563" s="100"/>
      <c r="E563" s="100"/>
    </row>
    <row r="564" spans="4:5" ht="15.75" customHeight="1">
      <c r="D564" s="100"/>
      <c r="E564" s="100"/>
    </row>
    <row r="565" spans="4:5" ht="15.75" customHeight="1">
      <c r="D565" s="100"/>
      <c r="E565" s="100"/>
    </row>
    <row r="566" spans="4:5" ht="15.75" customHeight="1">
      <c r="D566" s="100"/>
      <c r="E566" s="100"/>
    </row>
    <row r="567" spans="4:5" ht="15.75" customHeight="1">
      <c r="D567" s="100"/>
      <c r="E567" s="100"/>
    </row>
    <row r="568" spans="4:5" ht="15.75" customHeight="1">
      <c r="D568" s="100"/>
      <c r="E568" s="100"/>
    </row>
    <row r="569" spans="4:5" ht="15.75" customHeight="1">
      <c r="D569" s="100"/>
      <c r="E569" s="100"/>
    </row>
    <row r="570" spans="4:5" ht="15.75" customHeight="1">
      <c r="D570" s="100"/>
      <c r="E570" s="100"/>
    </row>
    <row r="571" spans="4:5" ht="15.75" customHeight="1">
      <c r="D571" s="100"/>
      <c r="E571" s="100"/>
    </row>
    <row r="572" spans="4:5" ht="15.75" customHeight="1">
      <c r="D572" s="100"/>
      <c r="E572" s="100"/>
    </row>
    <row r="573" spans="4:5" ht="15.75" customHeight="1">
      <c r="D573" s="100"/>
      <c r="E573" s="100"/>
    </row>
    <row r="574" spans="4:5" ht="15.75" customHeight="1">
      <c r="D574" s="100"/>
      <c r="E574" s="100"/>
    </row>
    <row r="575" spans="4:5" ht="15.75" customHeight="1">
      <c r="D575" s="100"/>
      <c r="E575" s="100"/>
    </row>
    <row r="576" spans="4:5" ht="15.75" customHeight="1">
      <c r="D576" s="100"/>
      <c r="E576" s="100"/>
    </row>
    <row r="577" spans="4:5" ht="15.75" customHeight="1">
      <c r="D577" s="100"/>
      <c r="E577" s="100"/>
    </row>
    <row r="578" spans="4:5" ht="15.75" customHeight="1">
      <c r="D578" s="100"/>
      <c r="E578" s="100"/>
    </row>
    <row r="579" spans="4:5" ht="15.75" customHeight="1">
      <c r="D579" s="100"/>
      <c r="E579" s="100"/>
    </row>
    <row r="580" spans="4:5" ht="15.75" customHeight="1">
      <c r="D580" s="100"/>
      <c r="E580" s="100"/>
    </row>
    <row r="581" spans="4:5" ht="15.75" customHeight="1">
      <c r="D581" s="100"/>
      <c r="E581" s="100"/>
    </row>
    <row r="582" spans="4:5" ht="15.75" customHeight="1">
      <c r="D582" s="100"/>
      <c r="E582" s="100"/>
    </row>
    <row r="583" spans="4:5" ht="15.75" customHeight="1">
      <c r="D583" s="100"/>
      <c r="E583" s="100"/>
    </row>
    <row r="584" spans="4:5" ht="15.75" customHeight="1">
      <c r="D584" s="100"/>
      <c r="E584" s="100"/>
    </row>
    <row r="585" spans="4:5" ht="15.75" customHeight="1">
      <c r="D585" s="100"/>
      <c r="E585" s="100"/>
    </row>
    <row r="586" spans="4:5" ht="15.75" customHeight="1">
      <c r="D586" s="100"/>
      <c r="E586" s="100"/>
    </row>
    <row r="587" spans="4:5" ht="15.75" customHeight="1">
      <c r="D587" s="100"/>
      <c r="E587" s="100"/>
    </row>
    <row r="588" spans="4:5" ht="15.75" customHeight="1">
      <c r="D588" s="100"/>
      <c r="E588" s="100"/>
    </row>
    <row r="589" spans="4:5" ht="15.75" customHeight="1">
      <c r="D589" s="100"/>
      <c r="E589" s="100"/>
    </row>
    <row r="590" spans="4:5" ht="15.75" customHeight="1">
      <c r="D590" s="100"/>
      <c r="E590" s="100"/>
    </row>
    <row r="591" spans="4:5" ht="15.75" customHeight="1">
      <c r="D591" s="100"/>
      <c r="E591" s="100"/>
    </row>
    <row r="592" spans="4:5" ht="15.75" customHeight="1">
      <c r="D592" s="100"/>
      <c r="E592" s="100"/>
    </row>
    <row r="593" spans="4:5" ht="15.75" customHeight="1">
      <c r="D593" s="100"/>
      <c r="E593" s="100"/>
    </row>
    <row r="594" spans="4:5" ht="15.75" customHeight="1">
      <c r="D594" s="100"/>
      <c r="E594" s="100"/>
    </row>
    <row r="595" spans="4:5" ht="15.75" customHeight="1">
      <c r="D595" s="100"/>
      <c r="E595" s="100"/>
    </row>
    <row r="596" spans="4:5" ht="15.75" customHeight="1">
      <c r="D596" s="100"/>
      <c r="E596" s="100"/>
    </row>
    <row r="597" spans="4:5" ht="15.75" customHeight="1">
      <c r="D597" s="100"/>
      <c r="E597" s="100"/>
    </row>
    <row r="598" spans="4:5" ht="15.75" customHeight="1">
      <c r="D598" s="100"/>
      <c r="E598" s="100"/>
    </row>
    <row r="599" spans="4:5" ht="15.75" customHeight="1">
      <c r="D599" s="100"/>
      <c r="E599" s="100"/>
    </row>
    <row r="600" spans="4:5" ht="15.75" customHeight="1">
      <c r="D600" s="100"/>
      <c r="E600" s="100"/>
    </row>
    <row r="601" spans="4:5" ht="15.75" customHeight="1">
      <c r="D601" s="100"/>
      <c r="E601" s="100"/>
    </row>
    <row r="602" spans="4:5" ht="15.75" customHeight="1">
      <c r="D602" s="100"/>
      <c r="E602" s="100"/>
    </row>
    <row r="603" spans="4:5" ht="15.75" customHeight="1">
      <c r="D603" s="100"/>
      <c r="E603" s="100"/>
    </row>
    <row r="604" spans="4:5" ht="15.75" customHeight="1">
      <c r="D604" s="100"/>
      <c r="E604" s="100"/>
    </row>
    <row r="605" spans="4:5" ht="15.75" customHeight="1">
      <c r="D605" s="100"/>
      <c r="E605" s="100"/>
    </row>
    <row r="606" spans="4:5" ht="15.75" customHeight="1">
      <c r="D606" s="100"/>
      <c r="E606" s="100"/>
    </row>
    <row r="607" spans="4:5" ht="15.75" customHeight="1">
      <c r="D607" s="100"/>
      <c r="E607" s="100"/>
    </row>
    <row r="608" spans="4:5" ht="15.75" customHeight="1">
      <c r="D608" s="100"/>
      <c r="E608" s="100"/>
    </row>
    <row r="609" spans="4:5" ht="15.75" customHeight="1">
      <c r="D609" s="100"/>
      <c r="E609" s="100"/>
    </row>
    <row r="610" spans="4:5" ht="15.75" customHeight="1">
      <c r="D610" s="100"/>
      <c r="E610" s="100"/>
    </row>
    <row r="611" spans="4:5" ht="15.75" customHeight="1">
      <c r="D611" s="100"/>
      <c r="E611" s="100"/>
    </row>
    <row r="612" spans="4:5" ht="15.75" customHeight="1">
      <c r="D612" s="100"/>
      <c r="E612" s="100"/>
    </row>
    <row r="613" spans="4:5" ht="15.75" customHeight="1">
      <c r="D613" s="100"/>
      <c r="E613" s="100"/>
    </row>
    <row r="614" spans="4:5" ht="15.75" customHeight="1">
      <c r="D614" s="100"/>
      <c r="E614" s="100"/>
    </row>
    <row r="615" spans="4:5" ht="15.75" customHeight="1">
      <c r="D615" s="100"/>
      <c r="E615" s="100"/>
    </row>
    <row r="616" spans="4:5" ht="15.75" customHeight="1">
      <c r="D616" s="100"/>
      <c r="E616" s="100"/>
    </row>
    <row r="617" spans="4:5" ht="15.75" customHeight="1">
      <c r="D617" s="100"/>
      <c r="E617" s="100"/>
    </row>
    <row r="618" spans="4:5" ht="15.75" customHeight="1">
      <c r="D618" s="100"/>
      <c r="E618" s="100"/>
    </row>
    <row r="619" spans="4:5" ht="15.75" customHeight="1">
      <c r="D619" s="100"/>
      <c r="E619" s="100"/>
    </row>
    <row r="620" spans="4:5" ht="15.75" customHeight="1">
      <c r="D620" s="100"/>
      <c r="E620" s="100"/>
    </row>
    <row r="621" spans="4:5" ht="15.75" customHeight="1">
      <c r="D621" s="100"/>
      <c r="E621" s="100"/>
    </row>
    <row r="622" spans="4:5" ht="15.75" customHeight="1">
      <c r="D622" s="100"/>
      <c r="E622" s="100"/>
    </row>
    <row r="623" spans="4:5" ht="15.75" customHeight="1">
      <c r="D623" s="100"/>
      <c r="E623" s="100"/>
    </row>
    <row r="624" spans="4:5" ht="15.75" customHeight="1">
      <c r="D624" s="100"/>
      <c r="E624" s="100"/>
    </row>
    <row r="625" spans="4:5" ht="15.75" customHeight="1">
      <c r="D625" s="100"/>
      <c r="E625" s="100"/>
    </row>
    <row r="626" spans="4:5" ht="15.75" customHeight="1">
      <c r="D626" s="100"/>
      <c r="E626" s="100"/>
    </row>
    <row r="627" spans="4:5" ht="15.75" customHeight="1">
      <c r="D627" s="100"/>
      <c r="E627" s="100"/>
    </row>
    <row r="628" spans="4:5" ht="15.75" customHeight="1">
      <c r="D628" s="100"/>
      <c r="E628" s="100"/>
    </row>
    <row r="629" spans="4:5" ht="15.75" customHeight="1">
      <c r="D629" s="100"/>
      <c r="E629" s="100"/>
    </row>
    <row r="630" spans="4:5" ht="15.75" customHeight="1">
      <c r="D630" s="100"/>
      <c r="E630" s="100"/>
    </row>
    <row r="631" spans="4:5" ht="15.75" customHeight="1">
      <c r="D631" s="100"/>
      <c r="E631" s="100"/>
    </row>
    <row r="632" spans="4:5" ht="15.75" customHeight="1">
      <c r="D632" s="100"/>
      <c r="E632" s="100"/>
    </row>
    <row r="633" spans="4:5" ht="15.75" customHeight="1">
      <c r="D633" s="100"/>
      <c r="E633" s="100"/>
    </row>
    <row r="634" spans="4:5" ht="15.75" customHeight="1">
      <c r="D634" s="100"/>
      <c r="E634" s="100"/>
    </row>
    <row r="635" spans="4:5" ht="15.75" customHeight="1">
      <c r="D635" s="100"/>
      <c r="E635" s="100"/>
    </row>
    <row r="636" spans="4:5" ht="15.75" customHeight="1">
      <c r="D636" s="100"/>
      <c r="E636" s="100"/>
    </row>
    <row r="637" spans="4:5" ht="15.75" customHeight="1">
      <c r="D637" s="100"/>
      <c r="E637" s="100"/>
    </row>
    <row r="638" spans="4:5" ht="15.75" customHeight="1">
      <c r="D638" s="100"/>
      <c r="E638" s="100"/>
    </row>
    <row r="639" spans="4:5" ht="15.75" customHeight="1">
      <c r="D639" s="100"/>
      <c r="E639" s="100"/>
    </row>
    <row r="640" spans="4:5" ht="15.75" customHeight="1">
      <c r="D640" s="100"/>
      <c r="E640" s="100"/>
    </row>
    <row r="641" spans="4:5" ht="15.75" customHeight="1">
      <c r="D641" s="100"/>
      <c r="E641" s="100"/>
    </row>
    <row r="642" spans="4:5" ht="15.75" customHeight="1">
      <c r="D642" s="100"/>
      <c r="E642" s="100"/>
    </row>
    <row r="643" spans="4:5" ht="15.75" customHeight="1">
      <c r="D643" s="100"/>
      <c r="E643" s="100"/>
    </row>
    <row r="644" spans="4:5" ht="15.75" customHeight="1">
      <c r="D644" s="100"/>
      <c r="E644" s="100"/>
    </row>
    <row r="645" spans="4:5" ht="15.75" customHeight="1">
      <c r="D645" s="100"/>
      <c r="E645" s="100"/>
    </row>
    <row r="646" spans="4:5" ht="15.75" customHeight="1">
      <c r="D646" s="100"/>
      <c r="E646" s="100"/>
    </row>
    <row r="647" spans="4:5" ht="15.75" customHeight="1">
      <c r="D647" s="100"/>
      <c r="E647" s="100"/>
    </row>
    <row r="648" spans="4:5" ht="15.75" customHeight="1">
      <c r="D648" s="100"/>
      <c r="E648" s="100"/>
    </row>
    <row r="649" spans="4:5" ht="15.75" customHeight="1">
      <c r="D649" s="100"/>
      <c r="E649" s="100"/>
    </row>
    <row r="650" spans="4:5" ht="15.75" customHeight="1">
      <c r="D650" s="100"/>
      <c r="E650" s="100"/>
    </row>
    <row r="651" spans="4:5" ht="15.75" customHeight="1">
      <c r="D651" s="100"/>
      <c r="E651" s="100"/>
    </row>
    <row r="652" spans="4:5" ht="15.75" customHeight="1">
      <c r="D652" s="100"/>
      <c r="E652" s="100"/>
    </row>
    <row r="653" spans="4:5" ht="15.75" customHeight="1">
      <c r="D653" s="100"/>
      <c r="E653" s="100"/>
    </row>
    <row r="654" spans="4:5" ht="15.75" customHeight="1">
      <c r="D654" s="100"/>
      <c r="E654" s="100"/>
    </row>
    <row r="655" spans="4:5" ht="15.75" customHeight="1">
      <c r="D655" s="100"/>
      <c r="E655" s="100"/>
    </row>
    <row r="656" spans="4:5" ht="15.75" customHeight="1">
      <c r="D656" s="100"/>
      <c r="E656" s="100"/>
    </row>
    <row r="657" spans="4:5" ht="15.75" customHeight="1">
      <c r="D657" s="100"/>
      <c r="E657" s="100"/>
    </row>
    <row r="658" spans="4:5" ht="15.75" customHeight="1">
      <c r="D658" s="100"/>
      <c r="E658" s="100"/>
    </row>
    <row r="659" spans="4:5" ht="15.75" customHeight="1">
      <c r="D659" s="100"/>
      <c r="E659" s="100"/>
    </row>
    <row r="660" spans="4:5" ht="15.75" customHeight="1">
      <c r="D660" s="100"/>
      <c r="E660" s="100"/>
    </row>
    <row r="661" spans="4:5" ht="15.75" customHeight="1">
      <c r="D661" s="100"/>
      <c r="E661" s="100"/>
    </row>
    <row r="662" spans="4:5" ht="15.75" customHeight="1">
      <c r="D662" s="100"/>
      <c r="E662" s="100"/>
    </row>
    <row r="663" spans="4:5" ht="15.75" customHeight="1">
      <c r="D663" s="100"/>
      <c r="E663" s="100"/>
    </row>
    <row r="664" spans="4:5" ht="15.75" customHeight="1">
      <c r="D664" s="100"/>
      <c r="E664" s="100"/>
    </row>
    <row r="665" spans="4:5" ht="15.75" customHeight="1">
      <c r="D665" s="100"/>
      <c r="E665" s="100"/>
    </row>
    <row r="666" spans="4:5" ht="15.75" customHeight="1">
      <c r="D666" s="100"/>
      <c r="E666" s="100"/>
    </row>
    <row r="667" spans="4:5" ht="15.75" customHeight="1">
      <c r="D667" s="100"/>
      <c r="E667" s="100"/>
    </row>
    <row r="668" spans="4:5" ht="15.75" customHeight="1">
      <c r="D668" s="100"/>
      <c r="E668" s="100"/>
    </row>
    <row r="669" spans="4:5" ht="15.75" customHeight="1">
      <c r="D669" s="100"/>
      <c r="E669" s="100"/>
    </row>
    <row r="670" spans="4:5" ht="15.75" customHeight="1">
      <c r="D670" s="100"/>
      <c r="E670" s="100"/>
    </row>
    <row r="671" spans="4:5" ht="15.75" customHeight="1">
      <c r="D671" s="100"/>
      <c r="E671" s="100"/>
    </row>
    <row r="672" spans="4:5" ht="15.75" customHeight="1">
      <c r="D672" s="100"/>
      <c r="E672" s="100"/>
    </row>
    <row r="673" spans="4:5" ht="15.75" customHeight="1">
      <c r="D673" s="100"/>
      <c r="E673" s="100"/>
    </row>
    <row r="674" spans="4:5" ht="15.75" customHeight="1">
      <c r="D674" s="100"/>
      <c r="E674" s="100"/>
    </row>
    <row r="675" spans="4:5" ht="15.75" customHeight="1">
      <c r="D675" s="100"/>
      <c r="E675" s="100"/>
    </row>
    <row r="676" spans="4:5" ht="15.75" customHeight="1">
      <c r="D676" s="100"/>
      <c r="E676" s="100"/>
    </row>
    <row r="677" spans="4:5" ht="15.75" customHeight="1">
      <c r="D677" s="100"/>
      <c r="E677" s="100"/>
    </row>
    <row r="678" spans="4:5" ht="15.75" customHeight="1">
      <c r="D678" s="100"/>
      <c r="E678" s="100"/>
    </row>
    <row r="679" spans="4:5" ht="15.75" customHeight="1">
      <c r="D679" s="100"/>
      <c r="E679" s="100"/>
    </row>
    <row r="680" spans="4:5" ht="15.75" customHeight="1">
      <c r="D680" s="100"/>
      <c r="E680" s="100"/>
    </row>
    <row r="681" spans="4:5" ht="15.75" customHeight="1">
      <c r="D681" s="100"/>
      <c r="E681" s="100"/>
    </row>
    <row r="682" spans="4:5" ht="15.75" customHeight="1">
      <c r="D682" s="100"/>
      <c r="E682" s="100"/>
    </row>
    <row r="683" spans="4:5" ht="15.75" customHeight="1">
      <c r="D683" s="100"/>
      <c r="E683" s="100"/>
    </row>
    <row r="684" spans="4:5" ht="15.75" customHeight="1">
      <c r="D684" s="100"/>
      <c r="E684" s="100"/>
    </row>
    <row r="685" spans="4:5" ht="15.75" customHeight="1">
      <c r="D685" s="100"/>
      <c r="E685" s="100"/>
    </row>
    <row r="686" spans="4:5" ht="15.75" customHeight="1">
      <c r="D686" s="100"/>
      <c r="E686" s="100"/>
    </row>
    <row r="687" spans="4:5" ht="15.75" customHeight="1">
      <c r="D687" s="100"/>
      <c r="E687" s="100"/>
    </row>
    <row r="688" spans="4:5" ht="15.75" customHeight="1">
      <c r="D688" s="100"/>
      <c r="E688" s="100"/>
    </row>
    <row r="689" spans="4:5" ht="15.75" customHeight="1">
      <c r="D689" s="100"/>
      <c r="E689" s="100"/>
    </row>
    <row r="690" spans="4:5" ht="15.75" customHeight="1">
      <c r="D690" s="100"/>
      <c r="E690" s="100"/>
    </row>
    <row r="691" spans="4:5" ht="15.75" customHeight="1">
      <c r="D691" s="100"/>
      <c r="E691" s="100"/>
    </row>
    <row r="692" spans="4:5" ht="15.75" customHeight="1">
      <c r="D692" s="100"/>
      <c r="E692" s="100"/>
    </row>
    <row r="693" spans="4:5" ht="15.75" customHeight="1">
      <c r="D693" s="100"/>
      <c r="E693" s="100"/>
    </row>
    <row r="694" spans="4:5" ht="15.75" customHeight="1">
      <c r="D694" s="100"/>
      <c r="E694" s="100"/>
    </row>
    <row r="695" spans="4:5" ht="15.75" customHeight="1">
      <c r="D695" s="100"/>
      <c r="E695" s="100"/>
    </row>
    <row r="696" spans="4:5" ht="15.75" customHeight="1">
      <c r="D696" s="100"/>
      <c r="E696" s="100"/>
    </row>
    <row r="697" spans="4:5" ht="15.75" customHeight="1">
      <c r="D697" s="100"/>
      <c r="E697" s="100"/>
    </row>
    <row r="698" spans="4:5" ht="15.75" customHeight="1">
      <c r="D698" s="100"/>
      <c r="E698" s="100"/>
    </row>
    <row r="699" spans="4:5" ht="15.75" customHeight="1">
      <c r="D699" s="100"/>
      <c r="E699" s="100"/>
    </row>
    <row r="700" spans="4:5" ht="15.75" customHeight="1">
      <c r="D700" s="100"/>
      <c r="E700" s="100"/>
    </row>
    <row r="701" spans="4:5" ht="15.75" customHeight="1">
      <c r="D701" s="100"/>
      <c r="E701" s="100"/>
    </row>
    <row r="702" spans="4:5" ht="15.75" customHeight="1">
      <c r="D702" s="100"/>
      <c r="E702" s="100"/>
    </row>
    <row r="703" spans="4:5" ht="15.75" customHeight="1">
      <c r="D703" s="100"/>
      <c r="E703" s="100"/>
    </row>
    <row r="704" spans="4:5" ht="15.75" customHeight="1">
      <c r="D704" s="100"/>
      <c r="E704" s="100"/>
    </row>
    <row r="705" spans="4:5" ht="15.75" customHeight="1">
      <c r="D705" s="100"/>
      <c r="E705" s="100"/>
    </row>
    <row r="706" spans="4:5" ht="15.75" customHeight="1">
      <c r="D706" s="100"/>
      <c r="E706" s="100"/>
    </row>
    <row r="707" spans="4:5" ht="15.75" customHeight="1">
      <c r="D707" s="100"/>
      <c r="E707" s="100"/>
    </row>
    <row r="708" spans="4:5" ht="15.75" customHeight="1">
      <c r="D708" s="100"/>
      <c r="E708" s="100"/>
    </row>
    <row r="709" spans="4:5" ht="15.75" customHeight="1">
      <c r="D709" s="100"/>
      <c r="E709" s="100"/>
    </row>
    <row r="710" spans="4:5" ht="15.75" customHeight="1">
      <c r="D710" s="100"/>
      <c r="E710" s="100"/>
    </row>
    <row r="711" spans="4:5" ht="15.75" customHeight="1">
      <c r="D711" s="100"/>
      <c r="E711" s="100"/>
    </row>
    <row r="712" spans="4:5" ht="15.75" customHeight="1">
      <c r="D712" s="100"/>
      <c r="E712" s="100"/>
    </row>
    <row r="713" spans="4:5" ht="15.75" customHeight="1">
      <c r="D713" s="100"/>
      <c r="E713" s="100"/>
    </row>
    <row r="714" spans="4:5" ht="15.75" customHeight="1">
      <c r="D714" s="100"/>
      <c r="E714" s="100"/>
    </row>
    <row r="715" spans="4:5" ht="15.75" customHeight="1">
      <c r="D715" s="100"/>
      <c r="E715" s="100"/>
    </row>
    <row r="716" spans="4:5" ht="15.75" customHeight="1">
      <c r="D716" s="100"/>
      <c r="E716" s="100"/>
    </row>
    <row r="717" spans="4:5" ht="15.75" customHeight="1">
      <c r="D717" s="100"/>
      <c r="E717" s="100"/>
    </row>
    <row r="718" spans="4:5" ht="15.75" customHeight="1">
      <c r="D718" s="100"/>
      <c r="E718" s="100"/>
    </row>
    <row r="719" spans="4:5" ht="15.75" customHeight="1">
      <c r="D719" s="100"/>
      <c r="E719" s="100"/>
    </row>
    <row r="720" spans="4:5" ht="15.75" customHeight="1">
      <c r="D720" s="100"/>
      <c r="E720" s="100"/>
    </row>
    <row r="721" spans="4:5" ht="15.75" customHeight="1">
      <c r="D721" s="100"/>
      <c r="E721" s="100"/>
    </row>
    <row r="722" spans="4:5" ht="15.75" customHeight="1">
      <c r="D722" s="100"/>
      <c r="E722" s="100"/>
    </row>
    <row r="723" spans="4:5" ht="15.75" customHeight="1">
      <c r="D723" s="100"/>
      <c r="E723" s="100"/>
    </row>
    <row r="724" spans="4:5" ht="15.75" customHeight="1">
      <c r="D724" s="100"/>
      <c r="E724" s="100"/>
    </row>
    <row r="725" spans="4:5" ht="15.75" customHeight="1">
      <c r="D725" s="100"/>
      <c r="E725" s="100"/>
    </row>
    <row r="726" spans="4:5" ht="15.75" customHeight="1">
      <c r="D726" s="100"/>
      <c r="E726" s="100"/>
    </row>
    <row r="727" spans="4:5" ht="15.75" customHeight="1">
      <c r="D727" s="100"/>
      <c r="E727" s="100"/>
    </row>
    <row r="728" spans="4:5" ht="15.75" customHeight="1">
      <c r="D728" s="100"/>
      <c r="E728" s="100"/>
    </row>
    <row r="729" spans="4:5" ht="15.75" customHeight="1">
      <c r="D729" s="100"/>
      <c r="E729" s="100"/>
    </row>
    <row r="730" spans="4:5" ht="15.75" customHeight="1">
      <c r="D730" s="100"/>
      <c r="E730" s="100"/>
    </row>
    <row r="731" spans="4:5" ht="15.75" customHeight="1">
      <c r="D731" s="100"/>
      <c r="E731" s="100"/>
    </row>
    <row r="732" spans="4:5" ht="15.75" customHeight="1">
      <c r="D732" s="100"/>
      <c r="E732" s="100"/>
    </row>
    <row r="733" spans="4:5" ht="15.75" customHeight="1">
      <c r="D733" s="100"/>
      <c r="E733" s="100"/>
    </row>
    <row r="734" spans="4:5" ht="15.75" customHeight="1">
      <c r="D734" s="100"/>
      <c r="E734" s="100"/>
    </row>
    <row r="735" spans="4:5" ht="15.75" customHeight="1">
      <c r="D735" s="100"/>
      <c r="E735" s="100"/>
    </row>
    <row r="736" spans="4:5" ht="15.75" customHeight="1">
      <c r="D736" s="100"/>
      <c r="E736" s="100"/>
    </row>
    <row r="737" spans="4:5" ht="15.75" customHeight="1">
      <c r="D737" s="100"/>
      <c r="E737" s="100"/>
    </row>
    <row r="738" spans="4:5" ht="15.75" customHeight="1">
      <c r="D738" s="100"/>
      <c r="E738" s="100"/>
    </row>
    <row r="739" spans="4:5" ht="15.75" customHeight="1">
      <c r="D739" s="100"/>
      <c r="E739" s="100"/>
    </row>
    <row r="740" spans="4:5" ht="15.75" customHeight="1">
      <c r="D740" s="100"/>
      <c r="E740" s="100"/>
    </row>
    <row r="741" spans="4:5" ht="15.75" customHeight="1">
      <c r="D741" s="100"/>
      <c r="E741" s="100"/>
    </row>
    <row r="742" spans="4:5" ht="15.75" customHeight="1">
      <c r="D742" s="100"/>
      <c r="E742" s="100"/>
    </row>
    <row r="743" spans="4:5" ht="15.75" customHeight="1">
      <c r="D743" s="100"/>
      <c r="E743" s="100"/>
    </row>
    <row r="744" spans="4:5" ht="15.75" customHeight="1">
      <c r="D744" s="100"/>
      <c r="E744" s="100"/>
    </row>
    <row r="745" spans="4:5" ht="15.75" customHeight="1">
      <c r="D745" s="100"/>
      <c r="E745" s="100"/>
    </row>
    <row r="746" spans="4:5" ht="15.75" customHeight="1">
      <c r="D746" s="100"/>
      <c r="E746" s="100"/>
    </row>
    <row r="747" spans="4:5" ht="15.75" customHeight="1">
      <c r="D747" s="100"/>
      <c r="E747" s="100"/>
    </row>
    <row r="748" spans="4:5" ht="15.75" customHeight="1">
      <c r="D748" s="100"/>
      <c r="E748" s="100"/>
    </row>
    <row r="749" spans="4:5" ht="15.75" customHeight="1">
      <c r="D749" s="100"/>
      <c r="E749" s="100"/>
    </row>
    <row r="750" spans="4:5" ht="15.75" customHeight="1">
      <c r="D750" s="100"/>
      <c r="E750" s="100"/>
    </row>
    <row r="751" spans="4:5" ht="15.75" customHeight="1">
      <c r="D751" s="100"/>
      <c r="E751" s="100"/>
    </row>
    <row r="752" spans="4:5" ht="15.75" customHeight="1">
      <c r="D752" s="100"/>
      <c r="E752" s="100"/>
    </row>
    <row r="753" spans="4:5" ht="15.75" customHeight="1">
      <c r="D753" s="100"/>
      <c r="E753" s="100"/>
    </row>
    <row r="754" spans="4:5" ht="15.75" customHeight="1">
      <c r="D754" s="100"/>
      <c r="E754" s="100"/>
    </row>
    <row r="755" spans="4:5" ht="15.75" customHeight="1">
      <c r="D755" s="100"/>
      <c r="E755" s="100"/>
    </row>
    <row r="756" spans="4:5" ht="15.75" customHeight="1">
      <c r="D756" s="100"/>
      <c r="E756" s="100"/>
    </row>
    <row r="757" spans="4:5" ht="15.75" customHeight="1">
      <c r="D757" s="100"/>
      <c r="E757" s="100"/>
    </row>
    <row r="758" spans="4:5" ht="15.75" customHeight="1">
      <c r="D758" s="100"/>
      <c r="E758" s="100"/>
    </row>
    <row r="759" spans="4:5" ht="15.75" customHeight="1">
      <c r="D759" s="100"/>
      <c r="E759" s="100"/>
    </row>
    <row r="760" spans="4:5" ht="15.75" customHeight="1">
      <c r="D760" s="100"/>
      <c r="E760" s="100"/>
    </row>
    <row r="761" spans="4:5" ht="15.75" customHeight="1">
      <c r="D761" s="100"/>
      <c r="E761" s="100"/>
    </row>
    <row r="762" spans="4:5" ht="15.75" customHeight="1">
      <c r="D762" s="100"/>
      <c r="E762" s="100"/>
    </row>
    <row r="763" spans="4:5" ht="15.75" customHeight="1">
      <c r="D763" s="100"/>
      <c r="E763" s="100"/>
    </row>
    <row r="764" spans="4:5" ht="15.75" customHeight="1">
      <c r="D764" s="100"/>
      <c r="E764" s="100"/>
    </row>
    <row r="765" spans="4:5" ht="15.75" customHeight="1">
      <c r="D765" s="100"/>
      <c r="E765" s="100"/>
    </row>
    <row r="766" spans="4:5" ht="15.75" customHeight="1">
      <c r="D766" s="100"/>
      <c r="E766" s="100"/>
    </row>
    <row r="767" spans="4:5" ht="15.75" customHeight="1">
      <c r="D767" s="100"/>
      <c r="E767" s="100"/>
    </row>
    <row r="768" spans="4:5" ht="15.75" customHeight="1">
      <c r="D768" s="100"/>
      <c r="E768" s="100"/>
    </row>
    <row r="769" spans="4:5" ht="15.75" customHeight="1">
      <c r="D769" s="100"/>
      <c r="E769" s="100"/>
    </row>
    <row r="770" spans="4:5" ht="15.75" customHeight="1">
      <c r="D770" s="100"/>
      <c r="E770" s="100"/>
    </row>
    <row r="771" spans="4:5" ht="15.75" customHeight="1">
      <c r="D771" s="100"/>
      <c r="E771" s="100"/>
    </row>
    <row r="772" spans="4:5" ht="15.75" customHeight="1">
      <c r="D772" s="100"/>
      <c r="E772" s="100"/>
    </row>
    <row r="773" spans="4:5" ht="15.75" customHeight="1">
      <c r="D773" s="100"/>
      <c r="E773" s="100"/>
    </row>
    <row r="774" spans="4:5" ht="15.75" customHeight="1">
      <c r="D774" s="100"/>
      <c r="E774" s="100"/>
    </row>
    <row r="775" spans="4:5" ht="15.75" customHeight="1">
      <c r="D775" s="100"/>
      <c r="E775" s="100"/>
    </row>
    <row r="776" spans="4:5" ht="15.75" customHeight="1">
      <c r="D776" s="100"/>
      <c r="E776" s="100"/>
    </row>
    <row r="777" spans="4:5" ht="15.75" customHeight="1">
      <c r="D777" s="100"/>
      <c r="E777" s="100"/>
    </row>
    <row r="778" spans="4:5" ht="15.75" customHeight="1">
      <c r="D778" s="100"/>
      <c r="E778" s="100"/>
    </row>
    <row r="779" spans="4:5" ht="15.75" customHeight="1">
      <c r="D779" s="100"/>
      <c r="E779" s="100"/>
    </row>
    <row r="780" spans="4:5" ht="15.75" customHeight="1">
      <c r="D780" s="100"/>
      <c r="E780" s="100"/>
    </row>
    <row r="781" spans="4:5" ht="15.75" customHeight="1">
      <c r="D781" s="100"/>
      <c r="E781" s="100"/>
    </row>
    <row r="782" spans="4:5" ht="15.75" customHeight="1">
      <c r="D782" s="100"/>
      <c r="E782" s="100"/>
    </row>
    <row r="783" spans="4:5" ht="15.75" customHeight="1">
      <c r="D783" s="100"/>
      <c r="E783" s="100"/>
    </row>
    <row r="784" spans="4:5" ht="15.75" customHeight="1">
      <c r="D784" s="100"/>
      <c r="E784" s="100"/>
    </row>
    <row r="785" spans="4:5" ht="15.75" customHeight="1">
      <c r="D785" s="100"/>
      <c r="E785" s="100"/>
    </row>
    <row r="786" spans="4:5" ht="15.75" customHeight="1">
      <c r="D786" s="100"/>
      <c r="E786" s="100"/>
    </row>
    <row r="787" spans="4:5" ht="15.75" customHeight="1">
      <c r="D787" s="100"/>
      <c r="E787" s="100"/>
    </row>
    <row r="788" spans="4:5" ht="15.75" customHeight="1">
      <c r="D788" s="100"/>
      <c r="E788" s="100"/>
    </row>
    <row r="789" spans="4:5" ht="15.75" customHeight="1">
      <c r="D789" s="100"/>
      <c r="E789" s="100"/>
    </row>
    <row r="790" spans="4:5" ht="15.75" customHeight="1">
      <c r="D790" s="100"/>
      <c r="E790" s="100"/>
    </row>
    <row r="791" spans="4:5" ht="15.75" customHeight="1">
      <c r="D791" s="100"/>
      <c r="E791" s="100"/>
    </row>
    <row r="792" spans="4:5" ht="15.75" customHeight="1">
      <c r="D792" s="100"/>
      <c r="E792" s="100"/>
    </row>
    <row r="793" spans="4:5" ht="15.75" customHeight="1">
      <c r="D793" s="100"/>
      <c r="E793" s="100"/>
    </row>
    <row r="794" spans="4:5" ht="15.75" customHeight="1">
      <c r="D794" s="100"/>
      <c r="E794" s="100"/>
    </row>
    <row r="795" spans="4:5" ht="15.75" customHeight="1">
      <c r="D795" s="100"/>
      <c r="E795" s="100"/>
    </row>
    <row r="796" spans="4:5" ht="15.75" customHeight="1">
      <c r="D796" s="100"/>
      <c r="E796" s="100"/>
    </row>
    <row r="797" spans="4:5" ht="15.75" customHeight="1">
      <c r="D797" s="100"/>
      <c r="E797" s="100"/>
    </row>
    <row r="798" spans="4:5" ht="15.75" customHeight="1">
      <c r="D798" s="100"/>
      <c r="E798" s="100"/>
    </row>
    <row r="799" spans="4:5" ht="15.75" customHeight="1">
      <c r="D799" s="100"/>
      <c r="E799" s="100"/>
    </row>
    <row r="800" spans="4:5" ht="15.75" customHeight="1">
      <c r="D800" s="100"/>
      <c r="E800" s="100"/>
    </row>
    <row r="801" spans="4:5" ht="15.75" customHeight="1">
      <c r="D801" s="100"/>
      <c r="E801" s="100"/>
    </row>
    <row r="802" spans="4:5" ht="15.75" customHeight="1">
      <c r="D802" s="100"/>
      <c r="E802" s="100"/>
    </row>
    <row r="803" spans="4:5" ht="15.75" customHeight="1">
      <c r="D803" s="100"/>
      <c r="E803" s="100"/>
    </row>
    <row r="804" spans="4:5" ht="15.75" customHeight="1">
      <c r="D804" s="100"/>
      <c r="E804" s="100"/>
    </row>
    <row r="805" spans="4:5" ht="15.75" customHeight="1">
      <c r="D805" s="100"/>
      <c r="E805" s="100"/>
    </row>
    <row r="806" spans="4:5" ht="15.75" customHeight="1">
      <c r="D806" s="100"/>
      <c r="E806" s="100"/>
    </row>
    <row r="807" spans="4:5" ht="15.75" customHeight="1">
      <c r="D807" s="100"/>
      <c r="E807" s="100"/>
    </row>
    <row r="808" spans="4:5" ht="15.75" customHeight="1">
      <c r="D808" s="100"/>
      <c r="E808" s="100"/>
    </row>
    <row r="809" spans="4:5" ht="15.75" customHeight="1">
      <c r="D809" s="100"/>
      <c r="E809" s="100"/>
    </row>
    <row r="810" spans="4:5" ht="15.75" customHeight="1">
      <c r="D810" s="100"/>
      <c r="E810" s="100"/>
    </row>
    <row r="811" spans="4:5" ht="15.75" customHeight="1">
      <c r="D811" s="100"/>
      <c r="E811" s="100"/>
    </row>
    <row r="812" spans="4:5" ht="15.75" customHeight="1">
      <c r="D812" s="100"/>
      <c r="E812" s="100"/>
    </row>
    <row r="813" spans="4:5" ht="15.75" customHeight="1">
      <c r="D813" s="100"/>
      <c r="E813" s="100"/>
    </row>
    <row r="814" spans="4:5" ht="15.75" customHeight="1">
      <c r="D814" s="100"/>
      <c r="E814" s="100"/>
    </row>
    <row r="815" spans="4:5" ht="15.75" customHeight="1">
      <c r="D815" s="100"/>
      <c r="E815" s="100"/>
    </row>
    <row r="816" spans="4:5" ht="15.75" customHeight="1">
      <c r="D816" s="100"/>
      <c r="E816" s="100"/>
    </row>
    <row r="817" spans="4:5" ht="15.75" customHeight="1">
      <c r="D817" s="100"/>
      <c r="E817" s="100"/>
    </row>
    <row r="818" spans="4:5" ht="15.75" customHeight="1">
      <c r="D818" s="100"/>
      <c r="E818" s="100"/>
    </row>
    <row r="819" spans="4:5" ht="15.75" customHeight="1">
      <c r="D819" s="100"/>
      <c r="E819" s="100"/>
    </row>
    <row r="820" spans="4:5" ht="15.75" customHeight="1">
      <c r="D820" s="100"/>
      <c r="E820" s="100"/>
    </row>
    <row r="821" spans="4:5" ht="15.75" customHeight="1">
      <c r="D821" s="100"/>
      <c r="E821" s="100"/>
    </row>
    <row r="822" spans="4:5" ht="15.75" customHeight="1">
      <c r="D822" s="100"/>
      <c r="E822" s="100"/>
    </row>
    <row r="823" spans="4:5" ht="15.75" customHeight="1">
      <c r="D823" s="100"/>
      <c r="E823" s="100"/>
    </row>
    <row r="824" spans="4:5" ht="15.75" customHeight="1">
      <c r="D824" s="100"/>
      <c r="E824" s="100"/>
    </row>
    <row r="825" spans="4:5" ht="15.75" customHeight="1">
      <c r="D825" s="100"/>
      <c r="E825" s="100"/>
    </row>
    <row r="826" spans="4:5" ht="15.75" customHeight="1">
      <c r="D826" s="100"/>
      <c r="E826" s="100"/>
    </row>
    <row r="827" spans="4:5" ht="15.75" customHeight="1">
      <c r="D827" s="100"/>
      <c r="E827" s="100"/>
    </row>
    <row r="828" spans="4:5" ht="15.75" customHeight="1">
      <c r="D828" s="100"/>
      <c r="E828" s="100"/>
    </row>
    <row r="829" spans="4:5" ht="15.75" customHeight="1">
      <c r="D829" s="100"/>
      <c r="E829" s="100"/>
    </row>
    <row r="830" spans="4:5" ht="15.75" customHeight="1">
      <c r="D830" s="100"/>
      <c r="E830" s="100"/>
    </row>
    <row r="831" spans="4:5" ht="15.75" customHeight="1">
      <c r="D831" s="100"/>
      <c r="E831" s="100"/>
    </row>
    <row r="832" spans="4:5" ht="15.75" customHeight="1">
      <c r="D832" s="100"/>
      <c r="E832" s="100"/>
    </row>
    <row r="833" spans="4:5" ht="15.75" customHeight="1">
      <c r="D833" s="100"/>
      <c r="E833" s="100"/>
    </row>
    <row r="834" spans="4:5" ht="15.75" customHeight="1">
      <c r="D834" s="100"/>
      <c r="E834" s="100"/>
    </row>
    <row r="835" spans="4:5" ht="15.75" customHeight="1">
      <c r="D835" s="100"/>
      <c r="E835" s="100"/>
    </row>
    <row r="836" spans="4:5" ht="15.75" customHeight="1">
      <c r="D836" s="100"/>
      <c r="E836" s="100"/>
    </row>
    <row r="837" spans="4:5" ht="15.75" customHeight="1">
      <c r="D837" s="100"/>
      <c r="E837" s="100"/>
    </row>
    <row r="838" spans="4:5" ht="15.75" customHeight="1">
      <c r="D838" s="100"/>
      <c r="E838" s="100"/>
    </row>
    <row r="839" spans="4:5" ht="15.75" customHeight="1">
      <c r="D839" s="100"/>
      <c r="E839" s="100"/>
    </row>
    <row r="840" spans="4:5" ht="15.75" customHeight="1">
      <c r="D840" s="100"/>
      <c r="E840" s="100"/>
    </row>
    <row r="841" spans="4:5" ht="15.75" customHeight="1">
      <c r="D841" s="100"/>
      <c r="E841" s="100"/>
    </row>
    <row r="842" spans="4:5" ht="15.75" customHeight="1">
      <c r="D842" s="100"/>
      <c r="E842" s="100"/>
    </row>
    <row r="843" spans="4:5" ht="15.75" customHeight="1">
      <c r="D843" s="100"/>
      <c r="E843" s="100"/>
    </row>
    <row r="844" spans="4:5" ht="15.75" customHeight="1">
      <c r="D844" s="100"/>
      <c r="E844" s="100"/>
    </row>
    <row r="845" spans="4:5" ht="15.75" customHeight="1">
      <c r="D845" s="100"/>
      <c r="E845" s="100"/>
    </row>
    <row r="846" spans="4:5" ht="15.75" customHeight="1">
      <c r="D846" s="100"/>
      <c r="E846" s="100"/>
    </row>
    <row r="847" spans="4:5" ht="15.75" customHeight="1">
      <c r="D847" s="100"/>
      <c r="E847" s="100"/>
    </row>
    <row r="848" spans="4:5" ht="15.75" customHeight="1">
      <c r="D848" s="100"/>
      <c r="E848" s="100"/>
    </row>
    <row r="849" spans="4:5" ht="15.75" customHeight="1">
      <c r="D849" s="100"/>
      <c r="E849" s="100"/>
    </row>
    <row r="850" spans="4:5" ht="15.75" customHeight="1">
      <c r="D850" s="100"/>
      <c r="E850" s="100"/>
    </row>
    <row r="851" spans="4:5" ht="15.75" customHeight="1">
      <c r="D851" s="100"/>
      <c r="E851" s="100"/>
    </row>
    <row r="852" spans="4:5" ht="15.75" customHeight="1">
      <c r="D852" s="100"/>
      <c r="E852" s="100"/>
    </row>
    <row r="853" spans="4:5" ht="15.75" customHeight="1">
      <c r="D853" s="100"/>
      <c r="E853" s="100"/>
    </row>
    <row r="854" spans="4:5" ht="15.75" customHeight="1">
      <c r="D854" s="100"/>
      <c r="E854" s="100"/>
    </row>
    <row r="855" spans="4:5" ht="15.75" customHeight="1">
      <c r="D855" s="100"/>
      <c r="E855" s="100"/>
    </row>
    <row r="856" spans="4:5" ht="15.75" customHeight="1">
      <c r="D856" s="100"/>
      <c r="E856" s="100"/>
    </row>
    <row r="857" spans="4:5" ht="15.75" customHeight="1">
      <c r="D857" s="100"/>
      <c r="E857" s="100"/>
    </row>
    <row r="858" spans="4:5" ht="15.75" customHeight="1">
      <c r="D858" s="100"/>
      <c r="E858" s="100"/>
    </row>
    <row r="859" spans="4:5" ht="15.75" customHeight="1">
      <c r="D859" s="100"/>
      <c r="E859" s="100"/>
    </row>
    <row r="860" spans="4:5" ht="15.75" customHeight="1">
      <c r="D860" s="100"/>
      <c r="E860" s="100"/>
    </row>
    <row r="861" spans="4:5" ht="15.75" customHeight="1">
      <c r="D861" s="100"/>
      <c r="E861" s="100"/>
    </row>
    <row r="862" spans="4:5" ht="15.75" customHeight="1">
      <c r="D862" s="100"/>
      <c r="E862" s="100"/>
    </row>
    <row r="863" spans="4:5" ht="15.75" customHeight="1">
      <c r="D863" s="100"/>
      <c r="E863" s="100"/>
    </row>
    <row r="864" spans="4:5" ht="15.75" customHeight="1">
      <c r="D864" s="100"/>
      <c r="E864" s="100"/>
    </row>
    <row r="865" spans="4:5" ht="15.75" customHeight="1">
      <c r="D865" s="100"/>
      <c r="E865" s="100"/>
    </row>
    <row r="866" spans="4:5" ht="15.75" customHeight="1">
      <c r="D866" s="100"/>
      <c r="E866" s="100"/>
    </row>
    <row r="867" spans="4:5" ht="15.75" customHeight="1">
      <c r="D867" s="100"/>
      <c r="E867" s="100"/>
    </row>
    <row r="868" spans="4:5" ht="15.75" customHeight="1">
      <c r="D868" s="100"/>
      <c r="E868" s="100"/>
    </row>
    <row r="869" spans="4:5" ht="15.75" customHeight="1">
      <c r="D869" s="100"/>
      <c r="E869" s="100"/>
    </row>
    <row r="870" spans="4:5" ht="15.75" customHeight="1">
      <c r="D870" s="100"/>
      <c r="E870" s="100"/>
    </row>
    <row r="871" spans="4:5" ht="15.75" customHeight="1">
      <c r="D871" s="100"/>
      <c r="E871" s="100"/>
    </row>
    <row r="872" spans="4:5" ht="15.75" customHeight="1">
      <c r="D872" s="100"/>
      <c r="E872" s="100"/>
    </row>
    <row r="873" spans="4:5" ht="15.75" customHeight="1">
      <c r="D873" s="100"/>
      <c r="E873" s="100"/>
    </row>
    <row r="874" spans="4:5" ht="15.75" customHeight="1">
      <c r="D874" s="100"/>
      <c r="E874" s="100"/>
    </row>
    <row r="875" spans="4:5" ht="15.75" customHeight="1">
      <c r="D875" s="100"/>
      <c r="E875" s="100"/>
    </row>
    <row r="876" spans="4:5" ht="15.75" customHeight="1">
      <c r="D876" s="100"/>
      <c r="E876" s="100"/>
    </row>
    <row r="877" spans="4:5" ht="15.75" customHeight="1">
      <c r="D877" s="100"/>
      <c r="E877" s="100"/>
    </row>
    <row r="878" spans="4:5" ht="15.75" customHeight="1">
      <c r="D878" s="100"/>
      <c r="E878" s="100"/>
    </row>
    <row r="879" spans="4:5" ht="15.75" customHeight="1">
      <c r="D879" s="100"/>
      <c r="E879" s="100"/>
    </row>
    <row r="880" spans="4:5" ht="15.75" customHeight="1">
      <c r="D880" s="100"/>
      <c r="E880" s="100"/>
    </row>
    <row r="881" spans="4:5" ht="15.75" customHeight="1">
      <c r="D881" s="100"/>
      <c r="E881" s="100"/>
    </row>
    <row r="882" spans="4:5" ht="15.75" customHeight="1">
      <c r="D882" s="100"/>
      <c r="E882" s="100"/>
    </row>
    <row r="883" spans="4:5" ht="15.75" customHeight="1">
      <c r="D883" s="100"/>
      <c r="E883" s="100"/>
    </row>
    <row r="884" spans="4:5" ht="15.75" customHeight="1">
      <c r="D884" s="100"/>
      <c r="E884" s="100"/>
    </row>
    <row r="885" spans="4:5" ht="15.75" customHeight="1">
      <c r="D885" s="100"/>
      <c r="E885" s="100"/>
    </row>
    <row r="886" spans="4:5" ht="15.75" customHeight="1">
      <c r="D886" s="100"/>
      <c r="E886" s="100"/>
    </row>
    <row r="887" spans="4:5" ht="15.75" customHeight="1">
      <c r="D887" s="100"/>
      <c r="E887" s="100"/>
    </row>
    <row r="888" spans="4:5" ht="15.75" customHeight="1">
      <c r="D888" s="100"/>
      <c r="E888" s="100"/>
    </row>
    <row r="889" spans="4:5" ht="15.75" customHeight="1">
      <c r="D889" s="100"/>
      <c r="E889" s="100"/>
    </row>
    <row r="890" spans="4:5" ht="15.75" customHeight="1">
      <c r="D890" s="100"/>
      <c r="E890" s="100"/>
    </row>
    <row r="891" spans="4:5" ht="15.75" customHeight="1">
      <c r="D891" s="100"/>
      <c r="E891" s="100"/>
    </row>
    <row r="892" spans="4:5" ht="15.75" customHeight="1">
      <c r="D892" s="100"/>
      <c r="E892" s="100"/>
    </row>
    <row r="893" spans="4:5" ht="15.75" customHeight="1">
      <c r="D893" s="100"/>
      <c r="E893" s="100"/>
    </row>
    <row r="894" spans="4:5" ht="15.75" customHeight="1">
      <c r="D894" s="100"/>
      <c r="E894" s="100"/>
    </row>
    <row r="895" spans="4:5" ht="15.75" customHeight="1">
      <c r="D895" s="100"/>
      <c r="E895" s="100"/>
    </row>
    <row r="896" spans="4:5" ht="15.75" customHeight="1">
      <c r="D896" s="100"/>
      <c r="E896" s="100"/>
    </row>
    <row r="897" spans="4:5" ht="15.75" customHeight="1">
      <c r="D897" s="100"/>
      <c r="E897" s="100"/>
    </row>
    <row r="898" spans="4:5" ht="15.75" customHeight="1">
      <c r="D898" s="100"/>
      <c r="E898" s="100"/>
    </row>
    <row r="899" spans="4:5" ht="15.75" customHeight="1">
      <c r="D899" s="100"/>
      <c r="E899" s="100"/>
    </row>
    <row r="900" spans="4:5" ht="15.75" customHeight="1">
      <c r="D900" s="100"/>
      <c r="E900" s="100"/>
    </row>
    <row r="901" spans="4:5" ht="15.75" customHeight="1">
      <c r="D901" s="100"/>
      <c r="E901" s="100"/>
    </row>
    <row r="902" spans="4:5" ht="15.75" customHeight="1">
      <c r="D902" s="100"/>
      <c r="E902" s="100"/>
    </row>
    <row r="903" spans="4:5" ht="15.75" customHeight="1">
      <c r="D903" s="100"/>
      <c r="E903" s="100"/>
    </row>
    <row r="904" spans="4:5" ht="15.75" customHeight="1">
      <c r="D904" s="100"/>
      <c r="E904" s="100"/>
    </row>
    <row r="905" spans="4:5" ht="15.75" customHeight="1">
      <c r="D905" s="100"/>
      <c r="E905" s="100"/>
    </row>
    <row r="906" spans="4:5" ht="15.75" customHeight="1">
      <c r="D906" s="100"/>
      <c r="E906" s="100"/>
    </row>
    <row r="907" spans="4:5" ht="15.75" customHeight="1">
      <c r="D907" s="100"/>
      <c r="E907" s="100"/>
    </row>
    <row r="908" spans="4:5" ht="15.75" customHeight="1">
      <c r="D908" s="100"/>
      <c r="E908" s="100"/>
    </row>
    <row r="909" spans="4:5" ht="15.75" customHeight="1">
      <c r="D909" s="100"/>
      <c r="E909" s="100"/>
    </row>
    <row r="910" spans="4:5" ht="15.75" customHeight="1">
      <c r="D910" s="100"/>
      <c r="E910" s="100"/>
    </row>
    <row r="911" spans="4:5" ht="15.75" customHeight="1">
      <c r="D911" s="100"/>
      <c r="E911" s="100"/>
    </row>
    <row r="912" spans="4:5" ht="15.75" customHeight="1">
      <c r="D912" s="100"/>
      <c r="E912" s="100"/>
    </row>
    <row r="913" spans="4:5" ht="15.75" customHeight="1">
      <c r="D913" s="100"/>
      <c r="E913" s="100"/>
    </row>
    <row r="914" spans="4:5" ht="15.75" customHeight="1">
      <c r="D914" s="100"/>
      <c r="E914" s="100"/>
    </row>
    <row r="915" spans="4:5" ht="15.75" customHeight="1">
      <c r="D915" s="100"/>
      <c r="E915" s="100"/>
    </row>
    <row r="916" spans="4:5" ht="15.75" customHeight="1">
      <c r="D916" s="100"/>
      <c r="E916" s="100"/>
    </row>
    <row r="917" spans="4:5" ht="15.75" customHeight="1">
      <c r="D917" s="100"/>
      <c r="E917" s="100"/>
    </row>
    <row r="918" spans="4:5" ht="15.75" customHeight="1">
      <c r="D918" s="100"/>
      <c r="E918" s="100"/>
    </row>
    <row r="919" spans="4:5" ht="15.75" customHeight="1">
      <c r="D919" s="100"/>
      <c r="E919" s="100"/>
    </row>
    <row r="920" spans="4:5" ht="15.75" customHeight="1">
      <c r="D920" s="100"/>
      <c r="E920" s="100"/>
    </row>
    <row r="921" spans="4:5" ht="15.75" customHeight="1">
      <c r="D921" s="100"/>
      <c r="E921" s="100"/>
    </row>
    <row r="922" spans="4:5" ht="15.75" customHeight="1">
      <c r="D922" s="100"/>
      <c r="E922" s="100"/>
    </row>
    <row r="923" spans="4:5" ht="15.75" customHeight="1">
      <c r="D923" s="100"/>
      <c r="E923" s="100"/>
    </row>
    <row r="924" spans="4:5" ht="15.75" customHeight="1">
      <c r="D924" s="100"/>
      <c r="E924" s="100"/>
    </row>
    <row r="925" spans="4:5" ht="15.75" customHeight="1">
      <c r="D925" s="100"/>
      <c r="E925" s="100"/>
    </row>
    <row r="926" spans="4:5" ht="15.75" customHeight="1">
      <c r="D926" s="100"/>
      <c r="E926" s="100"/>
    </row>
    <row r="927" spans="4:5" ht="15.75" customHeight="1">
      <c r="D927" s="100"/>
      <c r="E927" s="100"/>
    </row>
    <row r="928" spans="4:5" ht="15.75" customHeight="1">
      <c r="D928" s="100"/>
      <c r="E928" s="100"/>
    </row>
    <row r="929" spans="4:5" ht="15.75" customHeight="1">
      <c r="D929" s="100"/>
      <c r="E929" s="100"/>
    </row>
    <row r="930" spans="4:5" ht="15.75" customHeight="1">
      <c r="D930" s="100"/>
      <c r="E930" s="100"/>
    </row>
    <row r="931" spans="4:5" ht="15.75" customHeight="1">
      <c r="D931" s="100"/>
      <c r="E931" s="100"/>
    </row>
    <row r="932" spans="4:5" ht="15.75" customHeight="1">
      <c r="D932" s="100"/>
      <c r="E932" s="100"/>
    </row>
    <row r="933" spans="4:5" ht="15.75" customHeight="1">
      <c r="D933" s="100"/>
      <c r="E933" s="100"/>
    </row>
    <row r="934" spans="4:5" ht="15.75" customHeight="1">
      <c r="D934" s="100"/>
      <c r="E934" s="100"/>
    </row>
    <row r="935" spans="4:5" ht="15.75" customHeight="1">
      <c r="D935" s="100"/>
      <c r="E935" s="100"/>
    </row>
    <row r="936" spans="4:5" ht="15.75" customHeight="1">
      <c r="D936" s="100"/>
      <c r="E936" s="100"/>
    </row>
    <row r="937" spans="4:5" ht="15.75" customHeight="1">
      <c r="D937" s="100"/>
      <c r="E937" s="100"/>
    </row>
    <row r="938" spans="4:5" ht="15.75" customHeight="1">
      <c r="D938" s="100"/>
      <c r="E938" s="100"/>
    </row>
    <row r="939" spans="4:5" ht="15.75" customHeight="1">
      <c r="D939" s="100"/>
      <c r="E939" s="100"/>
    </row>
    <row r="940" spans="4:5" ht="15.75" customHeight="1">
      <c r="D940" s="100"/>
      <c r="E940" s="100"/>
    </row>
    <row r="941" spans="4:5" ht="15.75" customHeight="1">
      <c r="D941" s="100"/>
      <c r="E941" s="100"/>
    </row>
    <row r="942" spans="4:5" ht="15.75" customHeight="1">
      <c r="D942" s="100"/>
      <c r="E942" s="100"/>
    </row>
    <row r="943" spans="4:5" ht="15.75" customHeight="1">
      <c r="D943" s="100"/>
      <c r="E943" s="100"/>
    </row>
    <row r="944" spans="4:5" ht="15.75" customHeight="1">
      <c r="D944" s="100"/>
      <c r="E944" s="100"/>
    </row>
    <row r="945" spans="4:5" ht="15.75" customHeight="1">
      <c r="D945" s="100"/>
      <c r="E945" s="100"/>
    </row>
    <row r="946" spans="4:5" ht="15.75" customHeight="1">
      <c r="D946" s="100"/>
      <c r="E946" s="100"/>
    </row>
    <row r="947" spans="4:5" ht="15.75" customHeight="1">
      <c r="D947" s="100"/>
      <c r="E947" s="100"/>
    </row>
    <row r="948" spans="4:5" ht="15.75" customHeight="1">
      <c r="D948" s="100"/>
      <c r="E948" s="100"/>
    </row>
    <row r="949" spans="4:5" ht="15.75" customHeight="1">
      <c r="D949" s="100"/>
      <c r="E949" s="100"/>
    </row>
    <row r="950" spans="4:5" ht="15.75" customHeight="1">
      <c r="D950" s="100"/>
      <c r="E950" s="100"/>
    </row>
    <row r="951" spans="4:5" ht="15.75" customHeight="1">
      <c r="D951" s="100"/>
      <c r="E951" s="100"/>
    </row>
    <row r="952" spans="4:5" ht="15.75" customHeight="1">
      <c r="D952" s="100"/>
      <c r="E952" s="100"/>
    </row>
    <row r="953" spans="4:5" ht="15.75" customHeight="1">
      <c r="D953" s="100"/>
      <c r="E953" s="100"/>
    </row>
    <row r="954" spans="4:5" ht="15.75" customHeight="1">
      <c r="D954" s="100"/>
      <c r="E954" s="100"/>
    </row>
    <row r="955" spans="4:5" ht="15.75" customHeight="1">
      <c r="D955" s="100"/>
      <c r="E955" s="100"/>
    </row>
    <row r="956" spans="4:5" ht="15.75" customHeight="1">
      <c r="D956" s="100"/>
      <c r="E956" s="100"/>
    </row>
    <row r="957" spans="4:5" ht="15.75" customHeight="1">
      <c r="D957" s="100"/>
      <c r="E957" s="100"/>
    </row>
    <row r="958" spans="4:5" ht="15.75" customHeight="1">
      <c r="D958" s="100"/>
      <c r="E958" s="100"/>
    </row>
    <row r="959" spans="4:5" ht="15.75" customHeight="1">
      <c r="D959" s="100"/>
      <c r="E959" s="100"/>
    </row>
    <row r="960" spans="4:5" ht="15.75" customHeight="1">
      <c r="D960" s="100"/>
      <c r="E960" s="100"/>
    </row>
    <row r="961" spans="4:5" ht="15.75" customHeight="1">
      <c r="D961" s="100"/>
      <c r="E961" s="100"/>
    </row>
    <row r="962" spans="4:5" ht="15.75" customHeight="1">
      <c r="D962" s="100"/>
      <c r="E962" s="100"/>
    </row>
    <row r="963" spans="4:5" ht="15.75" customHeight="1">
      <c r="D963" s="100"/>
      <c r="E963" s="100"/>
    </row>
    <row r="964" spans="4:5" ht="15.75" customHeight="1">
      <c r="D964" s="100"/>
      <c r="E964" s="100"/>
    </row>
    <row r="965" spans="4:5" ht="15.75" customHeight="1">
      <c r="D965" s="100"/>
      <c r="E965" s="100"/>
    </row>
    <row r="966" spans="4:5" ht="15.75" customHeight="1">
      <c r="D966" s="100"/>
      <c r="E966" s="100"/>
    </row>
    <row r="967" spans="4:5" ht="15.75" customHeight="1">
      <c r="D967" s="100"/>
      <c r="E967" s="100"/>
    </row>
    <row r="968" spans="4:5" ht="15.75" customHeight="1">
      <c r="D968" s="100"/>
      <c r="E968" s="100"/>
    </row>
    <row r="969" spans="4:5" ht="15.75" customHeight="1">
      <c r="D969" s="100"/>
      <c r="E969" s="100"/>
    </row>
    <row r="970" spans="4:5" ht="15.75" customHeight="1">
      <c r="D970" s="100"/>
      <c r="E970" s="100"/>
    </row>
    <row r="971" spans="4:5" ht="15.75" customHeight="1">
      <c r="D971" s="100"/>
      <c r="E971" s="100"/>
    </row>
    <row r="972" spans="4:5" ht="15.75" customHeight="1">
      <c r="D972" s="100"/>
      <c r="E972" s="100"/>
    </row>
    <row r="973" spans="4:5" ht="15.75" customHeight="1">
      <c r="D973" s="100"/>
      <c r="E973" s="100"/>
    </row>
    <row r="974" spans="4:5" ht="15.75" customHeight="1">
      <c r="D974" s="100"/>
      <c r="E974" s="100"/>
    </row>
    <row r="975" spans="4:5" ht="15.75" customHeight="1">
      <c r="D975" s="100"/>
      <c r="E975" s="100"/>
    </row>
    <row r="976" spans="4:5" ht="15.75" customHeight="1">
      <c r="D976" s="100"/>
      <c r="E976" s="100"/>
    </row>
    <row r="977" spans="4:5" ht="15.75" customHeight="1">
      <c r="D977" s="100"/>
      <c r="E977" s="100"/>
    </row>
    <row r="978" spans="4:5" ht="15.75" customHeight="1">
      <c r="D978" s="100"/>
      <c r="E978" s="100"/>
    </row>
    <row r="979" spans="4:5" ht="15.75" customHeight="1">
      <c r="D979" s="100"/>
      <c r="E979" s="100"/>
    </row>
    <row r="980" spans="4:5" ht="15.75" customHeight="1">
      <c r="D980" s="100"/>
      <c r="E980" s="100"/>
    </row>
    <row r="981" spans="4:5" ht="15.75" customHeight="1">
      <c r="D981" s="100"/>
      <c r="E981" s="100"/>
    </row>
    <row r="982" spans="4:5" ht="15.75" customHeight="1">
      <c r="D982" s="100"/>
      <c r="E982" s="100"/>
    </row>
    <row r="983" spans="4:5" ht="15.75" customHeight="1">
      <c r="D983" s="100"/>
      <c r="E983" s="100"/>
    </row>
    <row r="984" spans="4:5" ht="15.75" customHeight="1">
      <c r="D984" s="100"/>
      <c r="E984" s="100"/>
    </row>
    <row r="985" spans="4:5" ht="15.75" customHeight="1">
      <c r="D985" s="100"/>
      <c r="E985" s="100"/>
    </row>
    <row r="986" spans="4:5" ht="15.75" customHeight="1">
      <c r="D986" s="100"/>
      <c r="E986" s="100"/>
    </row>
    <row r="987" spans="4:5" ht="15.75" customHeight="1">
      <c r="D987" s="100"/>
      <c r="E987" s="100"/>
    </row>
    <row r="988" spans="4:5" ht="15.75" customHeight="1">
      <c r="D988" s="100"/>
      <c r="E988" s="100"/>
    </row>
    <row r="989" spans="4:5" ht="15.75" customHeight="1">
      <c r="D989" s="100"/>
      <c r="E989" s="100"/>
    </row>
    <row r="990" spans="4:5" ht="15.75" customHeight="1">
      <c r="D990" s="100"/>
      <c r="E990" s="100"/>
    </row>
    <row r="991" spans="4:5" ht="15.75" customHeight="1">
      <c r="D991" s="100"/>
      <c r="E991" s="100"/>
    </row>
    <row r="992" spans="4:5" ht="15.75" customHeight="1">
      <c r="D992" s="100"/>
      <c r="E992" s="100"/>
    </row>
    <row r="993" spans="4:5" ht="15.75" customHeight="1">
      <c r="D993" s="100"/>
      <c r="E993" s="100"/>
    </row>
    <row r="994" spans="4:5" ht="15.75" customHeight="1">
      <c r="D994" s="100"/>
      <c r="E994" s="100"/>
    </row>
    <row r="995" spans="4:5" ht="15.75" customHeight="1">
      <c r="D995" s="100"/>
      <c r="E995" s="100"/>
    </row>
    <row r="996" spans="4:5" ht="15.75" customHeight="1">
      <c r="D996" s="100"/>
      <c r="E996" s="100"/>
    </row>
    <row r="997" spans="4:5" ht="15.75" customHeight="1">
      <c r="D997" s="100"/>
      <c r="E997" s="100"/>
    </row>
    <row r="998" spans="4:5" ht="15.75" customHeight="1">
      <c r="D998" s="100"/>
      <c r="E998" s="100"/>
    </row>
    <row r="999" spans="4:5" ht="15.75" customHeight="1">
      <c r="D999" s="100"/>
      <c r="E999" s="100"/>
    </row>
    <row r="1000" spans="4:5" ht="15.75" customHeight="1">
      <c r="D1000" s="100"/>
      <c r="E1000" s="100"/>
    </row>
    <row r="1001" spans="4:5" ht="15.75" customHeight="1">
      <c r="D1001" s="100"/>
      <c r="E1001" s="100"/>
    </row>
    <row r="1002" spans="4:5" ht="15.75" customHeight="1">
      <c r="D1002" s="100"/>
      <c r="E1002" s="100"/>
    </row>
    <row r="1003" spans="4:5" ht="15.75" customHeight="1">
      <c r="D1003" s="100"/>
      <c r="E1003" s="100"/>
    </row>
    <row r="1004" spans="4:5" ht="15.75" customHeight="1">
      <c r="D1004" s="100"/>
      <c r="E1004" s="100"/>
    </row>
  </sheetData>
  <autoFilter ref="A1:O504" xr:uid="{00000000-0009-0000-0000-000000000000}"/>
  <hyperlinks>
    <hyperlink ref="D1" r:id="rId1" location="cite_note-IBGE_Pop_2010-1" xr:uid="{00000000-0004-0000-0000-000000000000}"/>
    <hyperlink ref="E1" r:id="rId2" location="cite_note-IBGE_Pop_2019-2" xr:uid="{00000000-0004-0000-0000-000001000000}"/>
    <hyperlink ref="C2" r:id="rId3" xr:uid="{00000000-0004-0000-0000-000002000000}"/>
    <hyperlink ref="H2" r:id="rId4" xr:uid="{00000000-0004-0000-0000-000003000000}"/>
    <hyperlink ref="I2" r:id="rId5" xr:uid="{00000000-0004-0000-0000-000004000000}"/>
    <hyperlink ref="C3" r:id="rId6" xr:uid="{00000000-0004-0000-0000-000005000000}"/>
    <hyperlink ref="H3" r:id="rId7" xr:uid="{00000000-0004-0000-0000-000006000000}"/>
    <hyperlink ref="I3" r:id="rId8" xr:uid="{00000000-0004-0000-0000-000007000000}"/>
    <hyperlink ref="C4" r:id="rId9" xr:uid="{00000000-0004-0000-0000-000008000000}"/>
    <hyperlink ref="H4" r:id="rId10" xr:uid="{00000000-0004-0000-0000-000009000000}"/>
    <hyperlink ref="I4" r:id="rId11" xr:uid="{00000000-0004-0000-0000-00000A000000}"/>
    <hyperlink ref="C5" r:id="rId12" xr:uid="{00000000-0004-0000-0000-00000B000000}"/>
    <hyperlink ref="H5" r:id="rId13" xr:uid="{00000000-0004-0000-0000-00000C000000}"/>
    <hyperlink ref="I5" r:id="rId14" xr:uid="{00000000-0004-0000-0000-00000D000000}"/>
    <hyperlink ref="C6" r:id="rId15" xr:uid="{00000000-0004-0000-0000-00000E000000}"/>
    <hyperlink ref="H6" r:id="rId16" xr:uid="{00000000-0004-0000-0000-00000F000000}"/>
    <hyperlink ref="I6" r:id="rId17" xr:uid="{00000000-0004-0000-0000-000010000000}"/>
    <hyperlink ref="C7" r:id="rId18" xr:uid="{00000000-0004-0000-0000-000011000000}"/>
    <hyperlink ref="H7" r:id="rId19" xr:uid="{00000000-0004-0000-0000-000012000000}"/>
    <hyperlink ref="I7" r:id="rId20" xr:uid="{00000000-0004-0000-0000-000013000000}"/>
    <hyperlink ref="C8" r:id="rId21" xr:uid="{00000000-0004-0000-0000-000014000000}"/>
    <hyperlink ref="H8" r:id="rId22" xr:uid="{00000000-0004-0000-0000-000015000000}"/>
    <hyperlink ref="I8" r:id="rId23" xr:uid="{00000000-0004-0000-0000-000016000000}"/>
    <hyperlink ref="C9" r:id="rId24" xr:uid="{00000000-0004-0000-0000-000017000000}"/>
    <hyperlink ref="H9" r:id="rId25" xr:uid="{00000000-0004-0000-0000-000018000000}"/>
    <hyperlink ref="I9" r:id="rId26" xr:uid="{00000000-0004-0000-0000-000019000000}"/>
    <hyperlink ref="C10" r:id="rId27" xr:uid="{00000000-0004-0000-0000-00001A000000}"/>
    <hyperlink ref="H10" r:id="rId28" xr:uid="{00000000-0004-0000-0000-00001B000000}"/>
    <hyperlink ref="I10" r:id="rId29" xr:uid="{00000000-0004-0000-0000-00001C000000}"/>
    <hyperlink ref="C11" r:id="rId30" xr:uid="{00000000-0004-0000-0000-00001D000000}"/>
    <hyperlink ref="H11" r:id="rId31" xr:uid="{00000000-0004-0000-0000-00001E000000}"/>
    <hyperlink ref="I11" r:id="rId32" xr:uid="{00000000-0004-0000-0000-00001F000000}"/>
    <hyperlink ref="C12" r:id="rId33" xr:uid="{00000000-0004-0000-0000-000020000000}"/>
    <hyperlink ref="H12" r:id="rId34" xr:uid="{00000000-0004-0000-0000-000021000000}"/>
    <hyperlink ref="I12" r:id="rId35" xr:uid="{00000000-0004-0000-0000-000022000000}"/>
    <hyperlink ref="C13" r:id="rId36" xr:uid="{00000000-0004-0000-0000-000023000000}"/>
    <hyperlink ref="H13" r:id="rId37" xr:uid="{00000000-0004-0000-0000-000024000000}"/>
    <hyperlink ref="I13" r:id="rId38" xr:uid="{00000000-0004-0000-0000-000025000000}"/>
    <hyperlink ref="C14" r:id="rId39" xr:uid="{00000000-0004-0000-0000-000026000000}"/>
    <hyperlink ref="H14" r:id="rId40" xr:uid="{00000000-0004-0000-0000-000027000000}"/>
    <hyperlink ref="I14" r:id="rId41" xr:uid="{00000000-0004-0000-0000-000028000000}"/>
    <hyperlink ref="C15" r:id="rId42" xr:uid="{00000000-0004-0000-0000-000029000000}"/>
    <hyperlink ref="H15" r:id="rId43" xr:uid="{00000000-0004-0000-0000-00002A000000}"/>
    <hyperlink ref="I15" r:id="rId44" xr:uid="{00000000-0004-0000-0000-00002B000000}"/>
    <hyperlink ref="C16" r:id="rId45" xr:uid="{00000000-0004-0000-0000-00002C000000}"/>
    <hyperlink ref="H16" r:id="rId46" xr:uid="{00000000-0004-0000-0000-00002D000000}"/>
    <hyperlink ref="I16" r:id="rId47" xr:uid="{00000000-0004-0000-0000-00002E000000}"/>
    <hyperlink ref="C17" r:id="rId48" xr:uid="{00000000-0004-0000-0000-00002F000000}"/>
    <hyperlink ref="H17" r:id="rId49" xr:uid="{00000000-0004-0000-0000-000030000000}"/>
    <hyperlink ref="I17" r:id="rId50" xr:uid="{00000000-0004-0000-0000-000031000000}"/>
    <hyperlink ref="C18" r:id="rId51" xr:uid="{00000000-0004-0000-0000-000032000000}"/>
    <hyperlink ref="H18" r:id="rId52" xr:uid="{00000000-0004-0000-0000-000033000000}"/>
    <hyperlink ref="I18" r:id="rId53" xr:uid="{00000000-0004-0000-0000-000034000000}"/>
    <hyperlink ref="C19" r:id="rId54" xr:uid="{00000000-0004-0000-0000-000035000000}"/>
    <hyperlink ref="H19" r:id="rId55" xr:uid="{00000000-0004-0000-0000-000036000000}"/>
    <hyperlink ref="I19" r:id="rId56" xr:uid="{00000000-0004-0000-0000-000037000000}"/>
    <hyperlink ref="C20" r:id="rId57" xr:uid="{00000000-0004-0000-0000-000038000000}"/>
    <hyperlink ref="H20" r:id="rId58" xr:uid="{00000000-0004-0000-0000-000039000000}"/>
    <hyperlink ref="I20" r:id="rId59" xr:uid="{00000000-0004-0000-0000-00003A000000}"/>
    <hyperlink ref="C21" r:id="rId60" xr:uid="{00000000-0004-0000-0000-00003B000000}"/>
    <hyperlink ref="H21" r:id="rId61" xr:uid="{00000000-0004-0000-0000-00003C000000}"/>
    <hyperlink ref="I21" r:id="rId62" xr:uid="{00000000-0004-0000-0000-00003D000000}"/>
    <hyperlink ref="C22" r:id="rId63" xr:uid="{00000000-0004-0000-0000-00003E000000}"/>
    <hyperlink ref="H22" r:id="rId64" xr:uid="{00000000-0004-0000-0000-00003F000000}"/>
    <hyperlink ref="I22" r:id="rId65" xr:uid="{00000000-0004-0000-0000-000040000000}"/>
    <hyperlink ref="C23" r:id="rId66" xr:uid="{00000000-0004-0000-0000-000041000000}"/>
    <hyperlink ref="H23" r:id="rId67" xr:uid="{00000000-0004-0000-0000-000042000000}"/>
    <hyperlink ref="I23" r:id="rId68" xr:uid="{00000000-0004-0000-0000-000043000000}"/>
    <hyperlink ref="C24" r:id="rId69" xr:uid="{00000000-0004-0000-0000-000044000000}"/>
    <hyperlink ref="H24" r:id="rId70" xr:uid="{00000000-0004-0000-0000-000045000000}"/>
    <hyperlink ref="I24" r:id="rId71" xr:uid="{00000000-0004-0000-0000-000046000000}"/>
    <hyperlink ref="C25" r:id="rId72" xr:uid="{00000000-0004-0000-0000-000047000000}"/>
    <hyperlink ref="H25" r:id="rId73" xr:uid="{00000000-0004-0000-0000-000048000000}"/>
    <hyperlink ref="I25" r:id="rId74" xr:uid="{00000000-0004-0000-0000-000049000000}"/>
    <hyperlink ref="C26" r:id="rId75" xr:uid="{00000000-0004-0000-0000-00004A000000}"/>
    <hyperlink ref="H26" r:id="rId76" xr:uid="{00000000-0004-0000-0000-00004B000000}"/>
    <hyperlink ref="I26" r:id="rId77" xr:uid="{00000000-0004-0000-0000-00004C000000}"/>
    <hyperlink ref="C27" r:id="rId78" xr:uid="{00000000-0004-0000-0000-00004D000000}"/>
    <hyperlink ref="H27" r:id="rId79" xr:uid="{00000000-0004-0000-0000-00004E000000}"/>
    <hyperlink ref="I27" r:id="rId80" xr:uid="{00000000-0004-0000-0000-00004F000000}"/>
    <hyperlink ref="C28" r:id="rId81" xr:uid="{00000000-0004-0000-0000-000050000000}"/>
    <hyperlink ref="H28" r:id="rId82" xr:uid="{00000000-0004-0000-0000-000051000000}"/>
    <hyperlink ref="I28" r:id="rId83" xr:uid="{00000000-0004-0000-0000-000052000000}"/>
    <hyperlink ref="C29" r:id="rId84" xr:uid="{00000000-0004-0000-0000-000053000000}"/>
    <hyperlink ref="H29" r:id="rId85" xr:uid="{00000000-0004-0000-0000-000054000000}"/>
    <hyperlink ref="I29" r:id="rId86" xr:uid="{00000000-0004-0000-0000-000055000000}"/>
    <hyperlink ref="C30" r:id="rId87" xr:uid="{00000000-0004-0000-0000-000056000000}"/>
    <hyperlink ref="H30" r:id="rId88" xr:uid="{00000000-0004-0000-0000-000057000000}"/>
    <hyperlink ref="I30" r:id="rId89" xr:uid="{00000000-0004-0000-0000-000058000000}"/>
    <hyperlink ref="C31" r:id="rId90" xr:uid="{00000000-0004-0000-0000-000059000000}"/>
    <hyperlink ref="H31" r:id="rId91" xr:uid="{00000000-0004-0000-0000-00005A000000}"/>
    <hyperlink ref="I31" r:id="rId92" xr:uid="{00000000-0004-0000-0000-00005B000000}"/>
    <hyperlink ref="C32" r:id="rId93" xr:uid="{00000000-0004-0000-0000-00005C000000}"/>
    <hyperlink ref="H32" r:id="rId94" xr:uid="{00000000-0004-0000-0000-00005D000000}"/>
    <hyperlink ref="I32" r:id="rId95" xr:uid="{00000000-0004-0000-0000-00005E000000}"/>
    <hyperlink ref="C33" r:id="rId96" xr:uid="{00000000-0004-0000-0000-00005F000000}"/>
    <hyperlink ref="H33" r:id="rId97" xr:uid="{00000000-0004-0000-0000-000060000000}"/>
    <hyperlink ref="I33" r:id="rId98" xr:uid="{00000000-0004-0000-0000-000061000000}"/>
    <hyperlink ref="C34" r:id="rId99" xr:uid="{00000000-0004-0000-0000-000062000000}"/>
    <hyperlink ref="H34" r:id="rId100" xr:uid="{00000000-0004-0000-0000-000063000000}"/>
    <hyperlink ref="I34" r:id="rId101" xr:uid="{00000000-0004-0000-0000-000064000000}"/>
    <hyperlink ref="C35" r:id="rId102" xr:uid="{00000000-0004-0000-0000-000065000000}"/>
    <hyperlink ref="H35" r:id="rId103" xr:uid="{00000000-0004-0000-0000-000066000000}"/>
    <hyperlink ref="I35" r:id="rId104" xr:uid="{00000000-0004-0000-0000-000067000000}"/>
    <hyperlink ref="C36" r:id="rId105" xr:uid="{00000000-0004-0000-0000-000068000000}"/>
    <hyperlink ref="H36" r:id="rId106" xr:uid="{00000000-0004-0000-0000-000069000000}"/>
    <hyperlink ref="I36" r:id="rId107" xr:uid="{00000000-0004-0000-0000-00006A000000}"/>
    <hyperlink ref="C37" r:id="rId108" xr:uid="{00000000-0004-0000-0000-00006B000000}"/>
    <hyperlink ref="H37" r:id="rId109" xr:uid="{00000000-0004-0000-0000-00006C000000}"/>
    <hyperlink ref="I37" r:id="rId110" xr:uid="{00000000-0004-0000-0000-00006D000000}"/>
    <hyperlink ref="C38" r:id="rId111" xr:uid="{00000000-0004-0000-0000-00006E000000}"/>
    <hyperlink ref="H38" r:id="rId112" xr:uid="{00000000-0004-0000-0000-00006F000000}"/>
    <hyperlink ref="I38" r:id="rId113" xr:uid="{00000000-0004-0000-0000-000070000000}"/>
    <hyperlink ref="C39" r:id="rId114" xr:uid="{00000000-0004-0000-0000-000071000000}"/>
    <hyperlink ref="H39" r:id="rId115" xr:uid="{00000000-0004-0000-0000-000072000000}"/>
    <hyperlink ref="I39" r:id="rId116" xr:uid="{00000000-0004-0000-0000-000073000000}"/>
    <hyperlink ref="C40" r:id="rId117" xr:uid="{00000000-0004-0000-0000-000074000000}"/>
    <hyperlink ref="H40" r:id="rId118" xr:uid="{00000000-0004-0000-0000-000075000000}"/>
    <hyperlink ref="I40" r:id="rId119" xr:uid="{00000000-0004-0000-0000-000076000000}"/>
    <hyperlink ref="C41" r:id="rId120" xr:uid="{00000000-0004-0000-0000-000077000000}"/>
    <hyperlink ref="H41" r:id="rId121" xr:uid="{00000000-0004-0000-0000-000078000000}"/>
    <hyperlink ref="I41" r:id="rId122" xr:uid="{00000000-0004-0000-0000-000079000000}"/>
    <hyperlink ref="C42" r:id="rId123" xr:uid="{00000000-0004-0000-0000-00007A000000}"/>
    <hyperlink ref="H42" r:id="rId124" xr:uid="{00000000-0004-0000-0000-00007B000000}"/>
    <hyperlink ref="I42" r:id="rId125" xr:uid="{00000000-0004-0000-0000-00007C000000}"/>
    <hyperlink ref="C43" r:id="rId126" xr:uid="{00000000-0004-0000-0000-00007D000000}"/>
    <hyperlink ref="H43" r:id="rId127" xr:uid="{00000000-0004-0000-0000-00007E000000}"/>
    <hyperlink ref="I43" r:id="rId128" xr:uid="{00000000-0004-0000-0000-00007F000000}"/>
    <hyperlink ref="C44" r:id="rId129" xr:uid="{00000000-0004-0000-0000-000080000000}"/>
    <hyperlink ref="H44" r:id="rId130" xr:uid="{00000000-0004-0000-0000-000081000000}"/>
    <hyperlink ref="I44" r:id="rId131" xr:uid="{00000000-0004-0000-0000-000082000000}"/>
    <hyperlink ref="C45" r:id="rId132" xr:uid="{00000000-0004-0000-0000-000083000000}"/>
    <hyperlink ref="H45" r:id="rId133" xr:uid="{00000000-0004-0000-0000-000084000000}"/>
    <hyperlink ref="I45" r:id="rId134" xr:uid="{00000000-0004-0000-0000-000085000000}"/>
    <hyperlink ref="C46" r:id="rId135" xr:uid="{00000000-0004-0000-0000-000086000000}"/>
    <hyperlink ref="H46" r:id="rId136" xr:uid="{00000000-0004-0000-0000-000087000000}"/>
    <hyperlink ref="I46" r:id="rId137" xr:uid="{00000000-0004-0000-0000-000088000000}"/>
    <hyperlink ref="C47" r:id="rId138" xr:uid="{00000000-0004-0000-0000-000089000000}"/>
    <hyperlink ref="H47" r:id="rId139" xr:uid="{00000000-0004-0000-0000-00008A000000}"/>
    <hyperlink ref="I47" r:id="rId140" xr:uid="{00000000-0004-0000-0000-00008B000000}"/>
    <hyperlink ref="C48" r:id="rId141" xr:uid="{00000000-0004-0000-0000-00008C000000}"/>
    <hyperlink ref="H48" r:id="rId142" xr:uid="{00000000-0004-0000-0000-00008D000000}"/>
    <hyperlink ref="I48" r:id="rId143" xr:uid="{00000000-0004-0000-0000-00008E000000}"/>
    <hyperlink ref="C49" r:id="rId144" xr:uid="{00000000-0004-0000-0000-00008F000000}"/>
    <hyperlink ref="H49" r:id="rId145" xr:uid="{00000000-0004-0000-0000-000090000000}"/>
    <hyperlink ref="I49" r:id="rId146" xr:uid="{00000000-0004-0000-0000-000091000000}"/>
    <hyperlink ref="C50" r:id="rId147" xr:uid="{00000000-0004-0000-0000-000092000000}"/>
    <hyperlink ref="H50" r:id="rId148" xr:uid="{00000000-0004-0000-0000-000093000000}"/>
    <hyperlink ref="I50" r:id="rId149" xr:uid="{00000000-0004-0000-0000-000094000000}"/>
    <hyperlink ref="C51" r:id="rId150" xr:uid="{00000000-0004-0000-0000-000095000000}"/>
    <hyperlink ref="H51" r:id="rId151" xr:uid="{00000000-0004-0000-0000-000096000000}"/>
    <hyperlink ref="I51" r:id="rId152" xr:uid="{00000000-0004-0000-0000-000097000000}"/>
    <hyperlink ref="C52" r:id="rId153" xr:uid="{00000000-0004-0000-0000-000098000000}"/>
    <hyperlink ref="H52" r:id="rId154" xr:uid="{00000000-0004-0000-0000-000099000000}"/>
    <hyperlink ref="I52" r:id="rId155" xr:uid="{00000000-0004-0000-0000-00009A000000}"/>
    <hyperlink ref="C53" r:id="rId156" xr:uid="{00000000-0004-0000-0000-00009B000000}"/>
    <hyperlink ref="H53" r:id="rId157" xr:uid="{00000000-0004-0000-0000-00009C000000}"/>
    <hyperlink ref="I53" r:id="rId158" xr:uid="{00000000-0004-0000-0000-00009D000000}"/>
    <hyperlink ref="C54" r:id="rId159" xr:uid="{00000000-0004-0000-0000-00009E000000}"/>
    <hyperlink ref="H54" r:id="rId160" xr:uid="{00000000-0004-0000-0000-00009F000000}"/>
    <hyperlink ref="I54" r:id="rId161" xr:uid="{00000000-0004-0000-0000-0000A0000000}"/>
    <hyperlink ref="C55" r:id="rId162" xr:uid="{00000000-0004-0000-0000-0000A1000000}"/>
    <hyperlink ref="H55" r:id="rId163" xr:uid="{00000000-0004-0000-0000-0000A2000000}"/>
    <hyperlink ref="I55" r:id="rId164" xr:uid="{00000000-0004-0000-0000-0000A3000000}"/>
    <hyperlink ref="C56" r:id="rId165" xr:uid="{00000000-0004-0000-0000-0000A4000000}"/>
    <hyperlink ref="H56" r:id="rId166" xr:uid="{00000000-0004-0000-0000-0000A5000000}"/>
    <hyperlink ref="I56" r:id="rId167" xr:uid="{00000000-0004-0000-0000-0000A6000000}"/>
    <hyperlink ref="C57" r:id="rId168" xr:uid="{00000000-0004-0000-0000-0000A7000000}"/>
    <hyperlink ref="H57" r:id="rId169" xr:uid="{00000000-0004-0000-0000-0000A8000000}"/>
    <hyperlink ref="I57" r:id="rId170" xr:uid="{00000000-0004-0000-0000-0000A9000000}"/>
    <hyperlink ref="C58" r:id="rId171" xr:uid="{00000000-0004-0000-0000-0000AA000000}"/>
    <hyperlink ref="H58" r:id="rId172" xr:uid="{00000000-0004-0000-0000-0000AB000000}"/>
    <hyperlink ref="I58" r:id="rId173" xr:uid="{00000000-0004-0000-0000-0000AC000000}"/>
    <hyperlink ref="C59" r:id="rId174" xr:uid="{00000000-0004-0000-0000-0000AD000000}"/>
    <hyperlink ref="H59" r:id="rId175" xr:uid="{00000000-0004-0000-0000-0000AE000000}"/>
    <hyperlink ref="I59" r:id="rId176" xr:uid="{00000000-0004-0000-0000-0000AF000000}"/>
    <hyperlink ref="C60" r:id="rId177" xr:uid="{00000000-0004-0000-0000-0000B0000000}"/>
    <hyperlink ref="H60" r:id="rId178" xr:uid="{00000000-0004-0000-0000-0000B1000000}"/>
    <hyperlink ref="I60" r:id="rId179" xr:uid="{00000000-0004-0000-0000-0000B2000000}"/>
    <hyperlink ref="C61" r:id="rId180" xr:uid="{00000000-0004-0000-0000-0000B3000000}"/>
    <hyperlink ref="H61" r:id="rId181" xr:uid="{00000000-0004-0000-0000-0000B4000000}"/>
    <hyperlink ref="I61" r:id="rId182" xr:uid="{00000000-0004-0000-0000-0000B5000000}"/>
    <hyperlink ref="C62" r:id="rId183" xr:uid="{00000000-0004-0000-0000-0000B6000000}"/>
    <hyperlink ref="H62" r:id="rId184" xr:uid="{00000000-0004-0000-0000-0000B7000000}"/>
    <hyperlink ref="I62" r:id="rId185" xr:uid="{00000000-0004-0000-0000-0000B8000000}"/>
    <hyperlink ref="C63" r:id="rId186" xr:uid="{00000000-0004-0000-0000-0000B9000000}"/>
    <hyperlink ref="H63" r:id="rId187" xr:uid="{00000000-0004-0000-0000-0000BA000000}"/>
    <hyperlink ref="I63" r:id="rId188" xr:uid="{00000000-0004-0000-0000-0000BB000000}"/>
    <hyperlink ref="C64" r:id="rId189" xr:uid="{00000000-0004-0000-0000-0000BC000000}"/>
    <hyperlink ref="H64" r:id="rId190" xr:uid="{00000000-0004-0000-0000-0000BD000000}"/>
    <hyperlink ref="I64" r:id="rId191" xr:uid="{00000000-0004-0000-0000-0000BE000000}"/>
    <hyperlink ref="C65" r:id="rId192" xr:uid="{00000000-0004-0000-0000-0000BF000000}"/>
    <hyperlink ref="H65" r:id="rId193" xr:uid="{00000000-0004-0000-0000-0000C0000000}"/>
    <hyperlink ref="I65" r:id="rId194" xr:uid="{00000000-0004-0000-0000-0000C1000000}"/>
    <hyperlink ref="C66" r:id="rId195" xr:uid="{00000000-0004-0000-0000-0000C2000000}"/>
    <hyperlink ref="H66" r:id="rId196" xr:uid="{00000000-0004-0000-0000-0000C3000000}"/>
    <hyperlink ref="I66" r:id="rId197" xr:uid="{00000000-0004-0000-0000-0000C4000000}"/>
    <hyperlink ref="C67" r:id="rId198" xr:uid="{00000000-0004-0000-0000-0000C5000000}"/>
    <hyperlink ref="H67" r:id="rId199" xr:uid="{00000000-0004-0000-0000-0000C6000000}"/>
    <hyperlink ref="I67" r:id="rId200" xr:uid="{00000000-0004-0000-0000-0000C7000000}"/>
    <hyperlink ref="C68" r:id="rId201" xr:uid="{00000000-0004-0000-0000-0000C8000000}"/>
    <hyperlink ref="H68" r:id="rId202" xr:uid="{00000000-0004-0000-0000-0000C9000000}"/>
    <hyperlink ref="I68" r:id="rId203" xr:uid="{00000000-0004-0000-0000-0000CA000000}"/>
    <hyperlink ref="C69" r:id="rId204" xr:uid="{00000000-0004-0000-0000-0000CB000000}"/>
    <hyperlink ref="H69" r:id="rId205" xr:uid="{00000000-0004-0000-0000-0000CC000000}"/>
    <hyperlink ref="I69" r:id="rId206" xr:uid="{00000000-0004-0000-0000-0000CD000000}"/>
    <hyperlink ref="C70" r:id="rId207" xr:uid="{00000000-0004-0000-0000-0000CE000000}"/>
    <hyperlink ref="H70" r:id="rId208" xr:uid="{00000000-0004-0000-0000-0000CF000000}"/>
    <hyperlink ref="I70" r:id="rId209" xr:uid="{00000000-0004-0000-0000-0000D0000000}"/>
    <hyperlink ref="C71" r:id="rId210" xr:uid="{00000000-0004-0000-0000-0000D1000000}"/>
    <hyperlink ref="H71" r:id="rId211" xr:uid="{00000000-0004-0000-0000-0000D2000000}"/>
    <hyperlink ref="I71" r:id="rId212" xr:uid="{00000000-0004-0000-0000-0000D3000000}"/>
    <hyperlink ref="C72" r:id="rId213" xr:uid="{00000000-0004-0000-0000-0000D4000000}"/>
    <hyperlink ref="H72" r:id="rId214" xr:uid="{00000000-0004-0000-0000-0000D5000000}"/>
    <hyperlink ref="I72" r:id="rId215" xr:uid="{00000000-0004-0000-0000-0000D6000000}"/>
    <hyperlink ref="C73" r:id="rId216" xr:uid="{00000000-0004-0000-0000-0000D7000000}"/>
    <hyperlink ref="H73" r:id="rId217" xr:uid="{00000000-0004-0000-0000-0000D8000000}"/>
    <hyperlink ref="I73" r:id="rId218" xr:uid="{00000000-0004-0000-0000-0000D9000000}"/>
    <hyperlink ref="C74" r:id="rId219" xr:uid="{00000000-0004-0000-0000-0000DA000000}"/>
    <hyperlink ref="H74" r:id="rId220" xr:uid="{00000000-0004-0000-0000-0000DB000000}"/>
    <hyperlink ref="I74" r:id="rId221" xr:uid="{00000000-0004-0000-0000-0000DC000000}"/>
    <hyperlink ref="C75" r:id="rId222" xr:uid="{00000000-0004-0000-0000-0000DD000000}"/>
    <hyperlink ref="H75" r:id="rId223" xr:uid="{00000000-0004-0000-0000-0000DE000000}"/>
    <hyperlink ref="I75" r:id="rId224" xr:uid="{00000000-0004-0000-0000-0000DF000000}"/>
    <hyperlink ref="C76" r:id="rId225" xr:uid="{00000000-0004-0000-0000-0000E0000000}"/>
    <hyperlink ref="H76" r:id="rId226" xr:uid="{00000000-0004-0000-0000-0000E1000000}"/>
    <hyperlink ref="I76" r:id="rId227" xr:uid="{00000000-0004-0000-0000-0000E2000000}"/>
    <hyperlink ref="C77" r:id="rId228" xr:uid="{00000000-0004-0000-0000-0000E3000000}"/>
    <hyperlink ref="H77" r:id="rId229" xr:uid="{00000000-0004-0000-0000-0000E4000000}"/>
    <hyperlink ref="I77" r:id="rId230" xr:uid="{00000000-0004-0000-0000-0000E5000000}"/>
    <hyperlink ref="C78" r:id="rId231" xr:uid="{00000000-0004-0000-0000-0000E6000000}"/>
    <hyperlink ref="H78" r:id="rId232" xr:uid="{00000000-0004-0000-0000-0000E7000000}"/>
    <hyperlink ref="I78" r:id="rId233" xr:uid="{00000000-0004-0000-0000-0000E8000000}"/>
    <hyperlink ref="C79" r:id="rId234" xr:uid="{00000000-0004-0000-0000-0000E9000000}"/>
    <hyperlink ref="H79" r:id="rId235" xr:uid="{00000000-0004-0000-0000-0000EA000000}"/>
    <hyperlink ref="I79" r:id="rId236" xr:uid="{00000000-0004-0000-0000-0000EB000000}"/>
    <hyperlink ref="C80" r:id="rId237" xr:uid="{00000000-0004-0000-0000-0000EC000000}"/>
    <hyperlink ref="H80" r:id="rId238" xr:uid="{00000000-0004-0000-0000-0000ED000000}"/>
    <hyperlink ref="I80" r:id="rId239" xr:uid="{00000000-0004-0000-0000-0000EE000000}"/>
    <hyperlink ref="C81" r:id="rId240" xr:uid="{00000000-0004-0000-0000-0000EF000000}"/>
    <hyperlink ref="H81" r:id="rId241" xr:uid="{00000000-0004-0000-0000-0000F0000000}"/>
    <hyperlink ref="I81" r:id="rId242" xr:uid="{00000000-0004-0000-0000-0000F1000000}"/>
    <hyperlink ref="C82" r:id="rId243" xr:uid="{00000000-0004-0000-0000-0000F2000000}"/>
    <hyperlink ref="H82" r:id="rId244" xr:uid="{00000000-0004-0000-0000-0000F3000000}"/>
    <hyperlink ref="I82" r:id="rId245" xr:uid="{00000000-0004-0000-0000-0000F4000000}"/>
    <hyperlink ref="C83" r:id="rId246" xr:uid="{00000000-0004-0000-0000-0000F5000000}"/>
    <hyperlink ref="H83" r:id="rId247" xr:uid="{00000000-0004-0000-0000-0000F6000000}"/>
    <hyperlink ref="I83" r:id="rId248" xr:uid="{00000000-0004-0000-0000-0000F7000000}"/>
    <hyperlink ref="C84" r:id="rId249" xr:uid="{00000000-0004-0000-0000-0000F8000000}"/>
    <hyperlink ref="H84" r:id="rId250" xr:uid="{00000000-0004-0000-0000-0000F9000000}"/>
    <hyperlink ref="I84" r:id="rId251" xr:uid="{00000000-0004-0000-0000-0000FA000000}"/>
    <hyperlink ref="C85" r:id="rId252" xr:uid="{00000000-0004-0000-0000-0000FB000000}"/>
    <hyperlink ref="H85" r:id="rId253" xr:uid="{00000000-0004-0000-0000-0000FC000000}"/>
    <hyperlink ref="I85" r:id="rId254" xr:uid="{00000000-0004-0000-0000-0000FD000000}"/>
    <hyperlink ref="C86" r:id="rId255" xr:uid="{00000000-0004-0000-0000-0000FE000000}"/>
    <hyperlink ref="H86" r:id="rId256" xr:uid="{00000000-0004-0000-0000-0000FF000000}"/>
    <hyperlink ref="I86" r:id="rId257" xr:uid="{00000000-0004-0000-0000-000000010000}"/>
    <hyperlink ref="C87" r:id="rId258" xr:uid="{00000000-0004-0000-0000-000001010000}"/>
    <hyperlink ref="H87" r:id="rId259" xr:uid="{00000000-0004-0000-0000-000002010000}"/>
    <hyperlink ref="I87" r:id="rId260" xr:uid="{00000000-0004-0000-0000-000003010000}"/>
    <hyperlink ref="C88" r:id="rId261" xr:uid="{00000000-0004-0000-0000-000004010000}"/>
    <hyperlink ref="H88" r:id="rId262" xr:uid="{00000000-0004-0000-0000-000005010000}"/>
    <hyperlink ref="I88" r:id="rId263" xr:uid="{00000000-0004-0000-0000-000006010000}"/>
    <hyperlink ref="C89" r:id="rId264" xr:uid="{00000000-0004-0000-0000-000007010000}"/>
    <hyperlink ref="H89" r:id="rId265" xr:uid="{00000000-0004-0000-0000-000008010000}"/>
    <hyperlink ref="I89" r:id="rId266" xr:uid="{00000000-0004-0000-0000-000009010000}"/>
    <hyperlink ref="C90" r:id="rId267" xr:uid="{00000000-0004-0000-0000-00000A010000}"/>
    <hyperlink ref="H90" r:id="rId268" xr:uid="{00000000-0004-0000-0000-00000B010000}"/>
    <hyperlink ref="I90" r:id="rId269" xr:uid="{00000000-0004-0000-0000-00000C010000}"/>
    <hyperlink ref="C91" r:id="rId270" xr:uid="{00000000-0004-0000-0000-00000D010000}"/>
    <hyperlink ref="H91" r:id="rId271" xr:uid="{00000000-0004-0000-0000-00000E010000}"/>
    <hyperlink ref="I91" r:id="rId272" xr:uid="{00000000-0004-0000-0000-00000F010000}"/>
    <hyperlink ref="C92" r:id="rId273" xr:uid="{00000000-0004-0000-0000-000010010000}"/>
    <hyperlink ref="H92" r:id="rId274" xr:uid="{00000000-0004-0000-0000-000011010000}"/>
    <hyperlink ref="I92" r:id="rId275" xr:uid="{00000000-0004-0000-0000-000012010000}"/>
    <hyperlink ref="C93" r:id="rId276" xr:uid="{00000000-0004-0000-0000-000013010000}"/>
    <hyperlink ref="H93" r:id="rId277" xr:uid="{00000000-0004-0000-0000-000014010000}"/>
    <hyperlink ref="I93" r:id="rId278" xr:uid="{00000000-0004-0000-0000-000015010000}"/>
    <hyperlink ref="C94" r:id="rId279" xr:uid="{00000000-0004-0000-0000-000016010000}"/>
    <hyperlink ref="H94" r:id="rId280" xr:uid="{00000000-0004-0000-0000-000017010000}"/>
    <hyperlink ref="I94" r:id="rId281" xr:uid="{00000000-0004-0000-0000-000018010000}"/>
    <hyperlink ref="C95" r:id="rId282" xr:uid="{00000000-0004-0000-0000-000019010000}"/>
    <hyperlink ref="H95" r:id="rId283" xr:uid="{00000000-0004-0000-0000-00001A010000}"/>
    <hyperlink ref="I95" r:id="rId284" xr:uid="{00000000-0004-0000-0000-00001B010000}"/>
    <hyperlink ref="C96" r:id="rId285" xr:uid="{00000000-0004-0000-0000-00001C010000}"/>
    <hyperlink ref="H96" r:id="rId286" xr:uid="{00000000-0004-0000-0000-00001D010000}"/>
    <hyperlink ref="I96" r:id="rId287" xr:uid="{00000000-0004-0000-0000-00001E010000}"/>
    <hyperlink ref="C97" r:id="rId288" xr:uid="{00000000-0004-0000-0000-00001F010000}"/>
    <hyperlink ref="H97" r:id="rId289" xr:uid="{00000000-0004-0000-0000-000020010000}"/>
    <hyperlink ref="I97" r:id="rId290" xr:uid="{00000000-0004-0000-0000-000021010000}"/>
    <hyperlink ref="C98" r:id="rId291" xr:uid="{00000000-0004-0000-0000-000022010000}"/>
    <hyperlink ref="H98" r:id="rId292" xr:uid="{00000000-0004-0000-0000-000023010000}"/>
    <hyperlink ref="I98" r:id="rId293" xr:uid="{00000000-0004-0000-0000-000024010000}"/>
    <hyperlink ref="C99" r:id="rId294" xr:uid="{00000000-0004-0000-0000-000025010000}"/>
    <hyperlink ref="H99" r:id="rId295" xr:uid="{00000000-0004-0000-0000-000026010000}"/>
    <hyperlink ref="I99" r:id="rId296" xr:uid="{00000000-0004-0000-0000-000027010000}"/>
    <hyperlink ref="C100" r:id="rId297" xr:uid="{00000000-0004-0000-0000-000028010000}"/>
    <hyperlink ref="H100" r:id="rId298" xr:uid="{00000000-0004-0000-0000-000029010000}"/>
    <hyperlink ref="I100" r:id="rId299" xr:uid="{00000000-0004-0000-0000-00002A010000}"/>
    <hyperlink ref="C101" r:id="rId300" xr:uid="{00000000-0004-0000-0000-00002B010000}"/>
    <hyperlink ref="H101" r:id="rId301" xr:uid="{00000000-0004-0000-0000-00002C010000}"/>
    <hyperlink ref="I101" r:id="rId302" xr:uid="{00000000-0004-0000-0000-00002D010000}"/>
    <hyperlink ref="C102" r:id="rId303" xr:uid="{00000000-0004-0000-0000-00002E010000}"/>
    <hyperlink ref="H102" r:id="rId304" xr:uid="{00000000-0004-0000-0000-00002F010000}"/>
    <hyperlink ref="I102" r:id="rId305" xr:uid="{00000000-0004-0000-0000-000030010000}"/>
    <hyperlink ref="C103" r:id="rId306" xr:uid="{00000000-0004-0000-0000-000031010000}"/>
    <hyperlink ref="H103" r:id="rId307" xr:uid="{00000000-0004-0000-0000-000032010000}"/>
    <hyperlink ref="I103" r:id="rId308" xr:uid="{00000000-0004-0000-0000-000033010000}"/>
    <hyperlink ref="C104" r:id="rId309" xr:uid="{00000000-0004-0000-0000-000034010000}"/>
    <hyperlink ref="H104" r:id="rId310" xr:uid="{00000000-0004-0000-0000-000035010000}"/>
    <hyperlink ref="I104" r:id="rId311" xr:uid="{00000000-0004-0000-0000-000036010000}"/>
    <hyperlink ref="C105" r:id="rId312" xr:uid="{00000000-0004-0000-0000-000037010000}"/>
    <hyperlink ref="H105" r:id="rId313" xr:uid="{00000000-0004-0000-0000-000038010000}"/>
    <hyperlink ref="I105" r:id="rId314" xr:uid="{00000000-0004-0000-0000-000039010000}"/>
    <hyperlink ref="C106" r:id="rId315" xr:uid="{00000000-0004-0000-0000-00003A010000}"/>
    <hyperlink ref="H106" r:id="rId316" xr:uid="{00000000-0004-0000-0000-00003B010000}"/>
    <hyperlink ref="I106" r:id="rId317" xr:uid="{00000000-0004-0000-0000-00003C010000}"/>
    <hyperlink ref="C107" r:id="rId318" xr:uid="{00000000-0004-0000-0000-00003D010000}"/>
    <hyperlink ref="H107" r:id="rId319" xr:uid="{00000000-0004-0000-0000-00003E010000}"/>
    <hyperlink ref="I107" r:id="rId320" xr:uid="{00000000-0004-0000-0000-00003F010000}"/>
    <hyperlink ref="C108" r:id="rId321" xr:uid="{00000000-0004-0000-0000-000040010000}"/>
    <hyperlink ref="H108" r:id="rId322" xr:uid="{00000000-0004-0000-0000-000041010000}"/>
    <hyperlink ref="I108" r:id="rId323" xr:uid="{00000000-0004-0000-0000-000042010000}"/>
    <hyperlink ref="C109" r:id="rId324" xr:uid="{00000000-0004-0000-0000-000043010000}"/>
    <hyperlink ref="H109" r:id="rId325" xr:uid="{00000000-0004-0000-0000-000044010000}"/>
    <hyperlink ref="C110" r:id="rId326" xr:uid="{00000000-0004-0000-0000-000045010000}"/>
    <hyperlink ref="H110" r:id="rId327" xr:uid="{00000000-0004-0000-0000-000046010000}"/>
    <hyperlink ref="I110" r:id="rId328" xr:uid="{00000000-0004-0000-0000-000047010000}"/>
    <hyperlink ref="C111" r:id="rId329" xr:uid="{00000000-0004-0000-0000-000048010000}"/>
    <hyperlink ref="H111" r:id="rId330" xr:uid="{00000000-0004-0000-0000-000049010000}"/>
    <hyperlink ref="I111" r:id="rId331" xr:uid="{00000000-0004-0000-0000-00004A010000}"/>
    <hyperlink ref="C112" r:id="rId332" xr:uid="{00000000-0004-0000-0000-00004B010000}"/>
    <hyperlink ref="H112" r:id="rId333" xr:uid="{00000000-0004-0000-0000-00004C010000}"/>
    <hyperlink ref="I112" r:id="rId334" xr:uid="{00000000-0004-0000-0000-00004D010000}"/>
    <hyperlink ref="C113" r:id="rId335" xr:uid="{00000000-0004-0000-0000-00004E010000}"/>
    <hyperlink ref="H113" r:id="rId336" xr:uid="{00000000-0004-0000-0000-00004F010000}"/>
    <hyperlink ref="I113" r:id="rId337" xr:uid="{00000000-0004-0000-0000-000050010000}"/>
    <hyperlink ref="C114" r:id="rId338" xr:uid="{00000000-0004-0000-0000-000051010000}"/>
    <hyperlink ref="H114" r:id="rId339" xr:uid="{00000000-0004-0000-0000-000052010000}"/>
    <hyperlink ref="I114" r:id="rId340" xr:uid="{00000000-0004-0000-0000-000053010000}"/>
    <hyperlink ref="C115" r:id="rId341" xr:uid="{00000000-0004-0000-0000-000054010000}"/>
    <hyperlink ref="H115" r:id="rId342" xr:uid="{00000000-0004-0000-0000-000055010000}"/>
    <hyperlink ref="I115" r:id="rId343" xr:uid="{00000000-0004-0000-0000-000056010000}"/>
    <hyperlink ref="C116" r:id="rId344" xr:uid="{00000000-0004-0000-0000-000057010000}"/>
    <hyperlink ref="H116" r:id="rId345" xr:uid="{00000000-0004-0000-0000-000058010000}"/>
    <hyperlink ref="I116" r:id="rId346" xr:uid="{00000000-0004-0000-0000-000059010000}"/>
    <hyperlink ref="C117" r:id="rId347" xr:uid="{00000000-0004-0000-0000-00005A010000}"/>
    <hyperlink ref="H117" r:id="rId348" xr:uid="{00000000-0004-0000-0000-00005B010000}"/>
    <hyperlink ref="I117" r:id="rId349" xr:uid="{00000000-0004-0000-0000-00005C010000}"/>
    <hyperlink ref="C118" r:id="rId350" xr:uid="{00000000-0004-0000-0000-00005D010000}"/>
    <hyperlink ref="H118" r:id="rId351" xr:uid="{00000000-0004-0000-0000-00005E010000}"/>
    <hyperlink ref="I118" r:id="rId352" xr:uid="{00000000-0004-0000-0000-00005F010000}"/>
    <hyperlink ref="C119" r:id="rId353" xr:uid="{00000000-0004-0000-0000-000060010000}"/>
    <hyperlink ref="H119" r:id="rId354" xr:uid="{00000000-0004-0000-0000-000061010000}"/>
    <hyperlink ref="I119" r:id="rId355" xr:uid="{00000000-0004-0000-0000-000062010000}"/>
    <hyperlink ref="C120" r:id="rId356" xr:uid="{00000000-0004-0000-0000-000063010000}"/>
    <hyperlink ref="H120" r:id="rId357" xr:uid="{00000000-0004-0000-0000-000064010000}"/>
    <hyperlink ref="I120" r:id="rId358" xr:uid="{00000000-0004-0000-0000-000065010000}"/>
    <hyperlink ref="C121" r:id="rId359" xr:uid="{00000000-0004-0000-0000-000066010000}"/>
    <hyperlink ref="H121" r:id="rId360" xr:uid="{00000000-0004-0000-0000-000067010000}"/>
    <hyperlink ref="I121" r:id="rId361" xr:uid="{00000000-0004-0000-0000-000068010000}"/>
    <hyperlink ref="C122" r:id="rId362" xr:uid="{00000000-0004-0000-0000-000069010000}"/>
    <hyperlink ref="H122" r:id="rId363" xr:uid="{00000000-0004-0000-0000-00006A010000}"/>
    <hyperlink ref="I122" r:id="rId364" xr:uid="{00000000-0004-0000-0000-00006B010000}"/>
    <hyperlink ref="C123" r:id="rId365" xr:uid="{00000000-0004-0000-0000-00006C010000}"/>
    <hyperlink ref="H123" r:id="rId366" xr:uid="{00000000-0004-0000-0000-00006D010000}"/>
    <hyperlink ref="I123" r:id="rId367" xr:uid="{00000000-0004-0000-0000-00006E010000}"/>
    <hyperlink ref="C124" r:id="rId368" xr:uid="{00000000-0004-0000-0000-00006F010000}"/>
    <hyperlink ref="H124" r:id="rId369" xr:uid="{00000000-0004-0000-0000-000070010000}"/>
    <hyperlink ref="I124" r:id="rId370" xr:uid="{00000000-0004-0000-0000-000071010000}"/>
    <hyperlink ref="C125" r:id="rId371" xr:uid="{00000000-0004-0000-0000-000072010000}"/>
    <hyperlink ref="H125" r:id="rId372" xr:uid="{00000000-0004-0000-0000-000073010000}"/>
    <hyperlink ref="I125" r:id="rId373" xr:uid="{00000000-0004-0000-0000-000074010000}"/>
    <hyperlink ref="C126" r:id="rId374" xr:uid="{00000000-0004-0000-0000-000075010000}"/>
    <hyperlink ref="H126" r:id="rId375" xr:uid="{00000000-0004-0000-0000-000076010000}"/>
    <hyperlink ref="I126" r:id="rId376" xr:uid="{00000000-0004-0000-0000-000077010000}"/>
    <hyperlink ref="C127" r:id="rId377" xr:uid="{00000000-0004-0000-0000-000078010000}"/>
    <hyperlink ref="H127" r:id="rId378" xr:uid="{00000000-0004-0000-0000-000079010000}"/>
    <hyperlink ref="I127" r:id="rId379" xr:uid="{00000000-0004-0000-0000-00007A010000}"/>
    <hyperlink ref="C128" r:id="rId380" xr:uid="{00000000-0004-0000-0000-00007B010000}"/>
    <hyperlink ref="H128" r:id="rId381" xr:uid="{00000000-0004-0000-0000-00007C010000}"/>
    <hyperlink ref="I128" r:id="rId382" xr:uid="{00000000-0004-0000-0000-00007D010000}"/>
    <hyperlink ref="C129" r:id="rId383" xr:uid="{00000000-0004-0000-0000-00007E010000}"/>
    <hyperlink ref="H129" r:id="rId384" xr:uid="{00000000-0004-0000-0000-00007F010000}"/>
    <hyperlink ref="I129" r:id="rId385" xr:uid="{00000000-0004-0000-0000-000080010000}"/>
    <hyperlink ref="C130" r:id="rId386" xr:uid="{00000000-0004-0000-0000-000081010000}"/>
    <hyperlink ref="H130" r:id="rId387" xr:uid="{00000000-0004-0000-0000-000082010000}"/>
    <hyperlink ref="I130" r:id="rId388" xr:uid="{00000000-0004-0000-0000-000083010000}"/>
    <hyperlink ref="C131" r:id="rId389" xr:uid="{00000000-0004-0000-0000-000084010000}"/>
    <hyperlink ref="H131" r:id="rId390" xr:uid="{00000000-0004-0000-0000-000085010000}"/>
    <hyperlink ref="I131" r:id="rId391" xr:uid="{00000000-0004-0000-0000-000086010000}"/>
    <hyperlink ref="C132" r:id="rId392" xr:uid="{00000000-0004-0000-0000-000087010000}"/>
    <hyperlink ref="H132" r:id="rId393" xr:uid="{00000000-0004-0000-0000-000088010000}"/>
    <hyperlink ref="I132" r:id="rId394" xr:uid="{00000000-0004-0000-0000-000089010000}"/>
    <hyperlink ref="C133" r:id="rId395" xr:uid="{00000000-0004-0000-0000-00008A010000}"/>
    <hyperlink ref="H133" r:id="rId396" xr:uid="{00000000-0004-0000-0000-00008B010000}"/>
    <hyperlink ref="I133" r:id="rId397" xr:uid="{00000000-0004-0000-0000-00008C010000}"/>
    <hyperlink ref="C134" r:id="rId398" xr:uid="{00000000-0004-0000-0000-00008D010000}"/>
    <hyperlink ref="H134" r:id="rId399" xr:uid="{00000000-0004-0000-0000-00008E010000}"/>
    <hyperlink ref="I134" r:id="rId400" xr:uid="{00000000-0004-0000-0000-00008F010000}"/>
    <hyperlink ref="C135" r:id="rId401" xr:uid="{00000000-0004-0000-0000-000090010000}"/>
    <hyperlink ref="H135" r:id="rId402" xr:uid="{00000000-0004-0000-0000-000091010000}"/>
    <hyperlink ref="I135" r:id="rId403" xr:uid="{00000000-0004-0000-0000-000092010000}"/>
    <hyperlink ref="C136" r:id="rId404" xr:uid="{00000000-0004-0000-0000-000093010000}"/>
    <hyperlink ref="H136" r:id="rId405" xr:uid="{00000000-0004-0000-0000-000094010000}"/>
    <hyperlink ref="I136" r:id="rId406" xr:uid="{00000000-0004-0000-0000-000095010000}"/>
    <hyperlink ref="C137" r:id="rId407" xr:uid="{00000000-0004-0000-0000-000096010000}"/>
    <hyperlink ref="H137" r:id="rId408" xr:uid="{00000000-0004-0000-0000-000097010000}"/>
    <hyperlink ref="I137" r:id="rId409" xr:uid="{00000000-0004-0000-0000-000098010000}"/>
    <hyperlink ref="C138" r:id="rId410" xr:uid="{00000000-0004-0000-0000-000099010000}"/>
    <hyperlink ref="H138" r:id="rId411" xr:uid="{00000000-0004-0000-0000-00009A010000}"/>
    <hyperlink ref="I138" r:id="rId412" xr:uid="{00000000-0004-0000-0000-00009B010000}"/>
    <hyperlink ref="C139" r:id="rId413" xr:uid="{00000000-0004-0000-0000-00009C010000}"/>
    <hyperlink ref="H139" r:id="rId414" xr:uid="{00000000-0004-0000-0000-00009D010000}"/>
    <hyperlink ref="I139" r:id="rId415" xr:uid="{00000000-0004-0000-0000-00009E010000}"/>
    <hyperlink ref="C140" r:id="rId416" xr:uid="{00000000-0004-0000-0000-00009F010000}"/>
    <hyperlink ref="H140" r:id="rId417" xr:uid="{00000000-0004-0000-0000-0000A0010000}"/>
    <hyperlink ref="I140" r:id="rId418" xr:uid="{00000000-0004-0000-0000-0000A1010000}"/>
    <hyperlink ref="C141" r:id="rId419" xr:uid="{00000000-0004-0000-0000-0000A2010000}"/>
    <hyperlink ref="H141" r:id="rId420" xr:uid="{00000000-0004-0000-0000-0000A3010000}"/>
    <hyperlink ref="I141" r:id="rId421" xr:uid="{00000000-0004-0000-0000-0000A4010000}"/>
    <hyperlink ref="C142" r:id="rId422" xr:uid="{00000000-0004-0000-0000-0000A5010000}"/>
    <hyperlink ref="H142" r:id="rId423" xr:uid="{00000000-0004-0000-0000-0000A6010000}"/>
    <hyperlink ref="I142" r:id="rId424" xr:uid="{00000000-0004-0000-0000-0000A7010000}"/>
    <hyperlink ref="C143" r:id="rId425" xr:uid="{00000000-0004-0000-0000-0000A8010000}"/>
    <hyperlink ref="H143" r:id="rId426" xr:uid="{00000000-0004-0000-0000-0000A9010000}"/>
    <hyperlink ref="I143" r:id="rId427" xr:uid="{00000000-0004-0000-0000-0000AA010000}"/>
    <hyperlink ref="C144" r:id="rId428" xr:uid="{00000000-0004-0000-0000-0000AB010000}"/>
    <hyperlink ref="H144" r:id="rId429" xr:uid="{00000000-0004-0000-0000-0000AC010000}"/>
    <hyperlink ref="I144" r:id="rId430" xr:uid="{00000000-0004-0000-0000-0000AD010000}"/>
    <hyperlink ref="C145" r:id="rId431" xr:uid="{00000000-0004-0000-0000-0000AE010000}"/>
    <hyperlink ref="H145" r:id="rId432" xr:uid="{00000000-0004-0000-0000-0000AF010000}"/>
    <hyperlink ref="I145" r:id="rId433" xr:uid="{00000000-0004-0000-0000-0000B0010000}"/>
    <hyperlink ref="C146" r:id="rId434" xr:uid="{00000000-0004-0000-0000-0000B1010000}"/>
    <hyperlink ref="H146" r:id="rId435" xr:uid="{00000000-0004-0000-0000-0000B2010000}"/>
    <hyperlink ref="I146" r:id="rId436" xr:uid="{00000000-0004-0000-0000-0000B3010000}"/>
    <hyperlink ref="C151" r:id="rId437" xr:uid="{00000000-0004-0000-0000-0000B4010000}"/>
    <hyperlink ref="H151" r:id="rId438" xr:uid="{00000000-0004-0000-0000-0000B5010000}"/>
    <hyperlink ref="I151" r:id="rId439" xr:uid="{00000000-0004-0000-0000-0000B6010000}"/>
    <hyperlink ref="C152" r:id="rId440" xr:uid="{00000000-0004-0000-0000-0000B7010000}"/>
    <hyperlink ref="H152" r:id="rId441" xr:uid="{00000000-0004-0000-0000-0000B8010000}"/>
    <hyperlink ref="I152" r:id="rId442" xr:uid="{00000000-0004-0000-0000-0000B9010000}"/>
    <hyperlink ref="C153" r:id="rId443" xr:uid="{00000000-0004-0000-0000-0000BA010000}"/>
    <hyperlink ref="H153" r:id="rId444" xr:uid="{00000000-0004-0000-0000-0000BB010000}"/>
    <hyperlink ref="I153" r:id="rId445" xr:uid="{00000000-0004-0000-0000-0000BC010000}"/>
    <hyperlink ref="C154" r:id="rId446" xr:uid="{00000000-0004-0000-0000-0000BD010000}"/>
    <hyperlink ref="H154" r:id="rId447" xr:uid="{00000000-0004-0000-0000-0000BE010000}"/>
    <hyperlink ref="I154" r:id="rId448" xr:uid="{00000000-0004-0000-0000-0000BF010000}"/>
    <hyperlink ref="C155" r:id="rId449" xr:uid="{00000000-0004-0000-0000-0000C0010000}"/>
    <hyperlink ref="H155" r:id="rId450" xr:uid="{00000000-0004-0000-0000-0000C1010000}"/>
    <hyperlink ref="I155" r:id="rId451" xr:uid="{00000000-0004-0000-0000-0000C2010000}"/>
    <hyperlink ref="C156" r:id="rId452" xr:uid="{00000000-0004-0000-0000-0000C3010000}"/>
    <hyperlink ref="H156" r:id="rId453" xr:uid="{00000000-0004-0000-0000-0000C4010000}"/>
    <hyperlink ref="I156" r:id="rId454" xr:uid="{00000000-0004-0000-0000-0000C5010000}"/>
    <hyperlink ref="C157" r:id="rId455" xr:uid="{00000000-0004-0000-0000-0000C6010000}"/>
    <hyperlink ref="H157" r:id="rId456" xr:uid="{00000000-0004-0000-0000-0000C7010000}"/>
    <hyperlink ref="I157" r:id="rId457" xr:uid="{00000000-0004-0000-0000-0000C8010000}"/>
    <hyperlink ref="C158" r:id="rId458" xr:uid="{00000000-0004-0000-0000-0000C9010000}"/>
    <hyperlink ref="H158" r:id="rId459" xr:uid="{00000000-0004-0000-0000-0000CA010000}"/>
    <hyperlink ref="I158" r:id="rId460" xr:uid="{00000000-0004-0000-0000-0000CB010000}"/>
    <hyperlink ref="C160" r:id="rId461" xr:uid="{00000000-0004-0000-0000-0000CC010000}"/>
    <hyperlink ref="H160" r:id="rId462" xr:uid="{00000000-0004-0000-0000-0000CD010000}"/>
    <hyperlink ref="I160" r:id="rId463" xr:uid="{00000000-0004-0000-0000-0000CE010000}"/>
    <hyperlink ref="C161" r:id="rId464" xr:uid="{00000000-0004-0000-0000-0000CF010000}"/>
    <hyperlink ref="H161" r:id="rId465" xr:uid="{00000000-0004-0000-0000-0000D0010000}"/>
    <hyperlink ref="I161" r:id="rId466" xr:uid="{00000000-0004-0000-0000-0000D1010000}"/>
    <hyperlink ref="C162" r:id="rId467" xr:uid="{00000000-0004-0000-0000-0000D2010000}"/>
    <hyperlink ref="H162" r:id="rId468" xr:uid="{00000000-0004-0000-0000-0000D3010000}"/>
    <hyperlink ref="I162" r:id="rId469" xr:uid="{00000000-0004-0000-0000-0000D4010000}"/>
    <hyperlink ref="C163" r:id="rId470" xr:uid="{00000000-0004-0000-0000-0000D5010000}"/>
    <hyperlink ref="H163" r:id="rId471" xr:uid="{00000000-0004-0000-0000-0000D6010000}"/>
    <hyperlink ref="I163" r:id="rId472" xr:uid="{00000000-0004-0000-0000-0000D7010000}"/>
    <hyperlink ref="C164" r:id="rId473" xr:uid="{00000000-0004-0000-0000-0000D8010000}"/>
    <hyperlink ref="H164" r:id="rId474" xr:uid="{00000000-0004-0000-0000-0000D9010000}"/>
    <hyperlink ref="I164" r:id="rId475" xr:uid="{00000000-0004-0000-0000-0000DA010000}"/>
    <hyperlink ref="C165" r:id="rId476" xr:uid="{00000000-0004-0000-0000-0000DB010000}"/>
    <hyperlink ref="H165" r:id="rId477" xr:uid="{00000000-0004-0000-0000-0000DC010000}"/>
    <hyperlink ref="I165" r:id="rId478" xr:uid="{00000000-0004-0000-0000-0000DD010000}"/>
    <hyperlink ref="C166" r:id="rId479" xr:uid="{00000000-0004-0000-0000-0000DE010000}"/>
    <hyperlink ref="H166" r:id="rId480" xr:uid="{00000000-0004-0000-0000-0000DF010000}"/>
    <hyperlink ref="I166" r:id="rId481" xr:uid="{00000000-0004-0000-0000-0000E0010000}"/>
    <hyperlink ref="C167" r:id="rId482" xr:uid="{00000000-0004-0000-0000-0000E1010000}"/>
    <hyperlink ref="H167" r:id="rId483" xr:uid="{00000000-0004-0000-0000-0000E2010000}"/>
    <hyperlink ref="I167" r:id="rId484" xr:uid="{00000000-0004-0000-0000-0000E3010000}"/>
    <hyperlink ref="C168" r:id="rId485" xr:uid="{00000000-0004-0000-0000-0000E4010000}"/>
    <hyperlink ref="H168" r:id="rId486" xr:uid="{00000000-0004-0000-0000-0000E5010000}"/>
    <hyperlink ref="I168" r:id="rId487" xr:uid="{00000000-0004-0000-0000-0000E6010000}"/>
    <hyperlink ref="C169" r:id="rId488" xr:uid="{00000000-0004-0000-0000-0000E7010000}"/>
    <hyperlink ref="H169" r:id="rId489" xr:uid="{00000000-0004-0000-0000-0000E8010000}"/>
    <hyperlink ref="I169" r:id="rId490" xr:uid="{00000000-0004-0000-0000-0000E9010000}"/>
    <hyperlink ref="C170" r:id="rId491" xr:uid="{00000000-0004-0000-0000-0000EA010000}"/>
    <hyperlink ref="H170" r:id="rId492" xr:uid="{00000000-0004-0000-0000-0000EB010000}"/>
    <hyperlink ref="I170" r:id="rId493" xr:uid="{00000000-0004-0000-0000-0000EC010000}"/>
    <hyperlink ref="C171" r:id="rId494" xr:uid="{00000000-0004-0000-0000-0000ED010000}"/>
    <hyperlink ref="H171" r:id="rId495" xr:uid="{00000000-0004-0000-0000-0000EE010000}"/>
    <hyperlink ref="I171" r:id="rId496" xr:uid="{00000000-0004-0000-0000-0000EF010000}"/>
    <hyperlink ref="C172" r:id="rId497" xr:uid="{00000000-0004-0000-0000-0000F0010000}"/>
    <hyperlink ref="H172" r:id="rId498" xr:uid="{00000000-0004-0000-0000-0000F1010000}"/>
    <hyperlink ref="I172" r:id="rId499" xr:uid="{00000000-0004-0000-0000-0000F2010000}"/>
    <hyperlink ref="C173" r:id="rId500" xr:uid="{00000000-0004-0000-0000-0000F3010000}"/>
    <hyperlink ref="H173" r:id="rId501" xr:uid="{00000000-0004-0000-0000-0000F4010000}"/>
    <hyperlink ref="I173" r:id="rId502" xr:uid="{00000000-0004-0000-0000-0000F5010000}"/>
    <hyperlink ref="C174" r:id="rId503" xr:uid="{00000000-0004-0000-0000-0000F6010000}"/>
    <hyperlink ref="H174" r:id="rId504" xr:uid="{00000000-0004-0000-0000-0000F7010000}"/>
    <hyperlink ref="I174" r:id="rId505" xr:uid="{00000000-0004-0000-0000-0000F8010000}"/>
    <hyperlink ref="C175" r:id="rId506" xr:uid="{00000000-0004-0000-0000-0000F9010000}"/>
    <hyperlink ref="H175" r:id="rId507" xr:uid="{00000000-0004-0000-0000-0000FA010000}"/>
    <hyperlink ref="I175" r:id="rId508" xr:uid="{00000000-0004-0000-0000-0000FB010000}"/>
    <hyperlink ref="C176" r:id="rId509" xr:uid="{00000000-0004-0000-0000-0000FC010000}"/>
    <hyperlink ref="H176" r:id="rId510" xr:uid="{00000000-0004-0000-0000-0000FD010000}"/>
    <hyperlink ref="I176" r:id="rId511" xr:uid="{00000000-0004-0000-0000-0000FE010000}"/>
    <hyperlink ref="C177" r:id="rId512" xr:uid="{00000000-0004-0000-0000-0000FF010000}"/>
    <hyperlink ref="H177" r:id="rId513" xr:uid="{00000000-0004-0000-0000-000000020000}"/>
    <hyperlink ref="I177" r:id="rId514" xr:uid="{00000000-0004-0000-0000-000001020000}"/>
    <hyperlink ref="C178" r:id="rId515" xr:uid="{00000000-0004-0000-0000-000002020000}"/>
    <hyperlink ref="H178" r:id="rId516" xr:uid="{00000000-0004-0000-0000-000003020000}"/>
    <hyperlink ref="I178" r:id="rId517" xr:uid="{00000000-0004-0000-0000-000004020000}"/>
    <hyperlink ref="C179" r:id="rId518" xr:uid="{00000000-0004-0000-0000-000005020000}"/>
    <hyperlink ref="H179" r:id="rId519" xr:uid="{00000000-0004-0000-0000-000006020000}"/>
    <hyperlink ref="I179" r:id="rId520" xr:uid="{00000000-0004-0000-0000-000007020000}"/>
    <hyperlink ref="C180" r:id="rId521" xr:uid="{00000000-0004-0000-0000-000008020000}"/>
    <hyperlink ref="H180" r:id="rId522" xr:uid="{00000000-0004-0000-0000-000009020000}"/>
    <hyperlink ref="I180" r:id="rId523" xr:uid="{00000000-0004-0000-0000-00000A020000}"/>
    <hyperlink ref="C181" r:id="rId524" xr:uid="{00000000-0004-0000-0000-00000B020000}"/>
    <hyperlink ref="H181" r:id="rId525" xr:uid="{00000000-0004-0000-0000-00000C020000}"/>
    <hyperlink ref="I181" r:id="rId526" xr:uid="{00000000-0004-0000-0000-00000D020000}"/>
    <hyperlink ref="C182" r:id="rId527" xr:uid="{00000000-0004-0000-0000-00000E020000}"/>
    <hyperlink ref="H182" r:id="rId528" xr:uid="{00000000-0004-0000-0000-00000F020000}"/>
    <hyperlink ref="I182" r:id="rId529" xr:uid="{00000000-0004-0000-0000-000010020000}"/>
    <hyperlink ref="C183" r:id="rId530" xr:uid="{00000000-0004-0000-0000-000011020000}"/>
    <hyperlink ref="H183" r:id="rId531" xr:uid="{00000000-0004-0000-0000-000012020000}"/>
    <hyperlink ref="I183" r:id="rId532" xr:uid="{00000000-0004-0000-0000-000013020000}"/>
    <hyperlink ref="C184" r:id="rId533" xr:uid="{00000000-0004-0000-0000-000014020000}"/>
    <hyperlink ref="H184" r:id="rId534" xr:uid="{00000000-0004-0000-0000-000015020000}"/>
    <hyperlink ref="I184" r:id="rId535" xr:uid="{00000000-0004-0000-0000-000016020000}"/>
    <hyperlink ref="C185" r:id="rId536" xr:uid="{00000000-0004-0000-0000-000017020000}"/>
    <hyperlink ref="H185" r:id="rId537" xr:uid="{00000000-0004-0000-0000-000018020000}"/>
    <hyperlink ref="I185" r:id="rId538" xr:uid="{00000000-0004-0000-0000-000019020000}"/>
    <hyperlink ref="C186" r:id="rId539" xr:uid="{00000000-0004-0000-0000-00001A020000}"/>
    <hyperlink ref="H186" r:id="rId540" xr:uid="{00000000-0004-0000-0000-00001B020000}"/>
    <hyperlink ref="I186" r:id="rId541" xr:uid="{00000000-0004-0000-0000-00001C020000}"/>
    <hyperlink ref="C187" r:id="rId542" xr:uid="{00000000-0004-0000-0000-00001D020000}"/>
    <hyperlink ref="H187" r:id="rId543" xr:uid="{00000000-0004-0000-0000-00001E020000}"/>
    <hyperlink ref="I187" r:id="rId544" xr:uid="{00000000-0004-0000-0000-00001F020000}"/>
    <hyperlink ref="C188" r:id="rId545" xr:uid="{00000000-0004-0000-0000-000020020000}"/>
    <hyperlink ref="H188" r:id="rId546" xr:uid="{00000000-0004-0000-0000-000021020000}"/>
    <hyperlink ref="I188" r:id="rId547" xr:uid="{00000000-0004-0000-0000-000022020000}"/>
    <hyperlink ref="C189" r:id="rId548" xr:uid="{00000000-0004-0000-0000-000023020000}"/>
    <hyperlink ref="H189" r:id="rId549" xr:uid="{00000000-0004-0000-0000-000024020000}"/>
    <hyperlink ref="I189" r:id="rId550" xr:uid="{00000000-0004-0000-0000-000025020000}"/>
    <hyperlink ref="C190" r:id="rId551" xr:uid="{00000000-0004-0000-0000-000026020000}"/>
    <hyperlink ref="H190" r:id="rId552" xr:uid="{00000000-0004-0000-0000-000027020000}"/>
    <hyperlink ref="I190" r:id="rId553" xr:uid="{00000000-0004-0000-0000-000028020000}"/>
    <hyperlink ref="C191" r:id="rId554" xr:uid="{00000000-0004-0000-0000-000029020000}"/>
    <hyperlink ref="H191" r:id="rId555" xr:uid="{00000000-0004-0000-0000-00002A020000}"/>
    <hyperlink ref="I191" r:id="rId556" xr:uid="{00000000-0004-0000-0000-00002B020000}"/>
    <hyperlink ref="C192" r:id="rId557" xr:uid="{00000000-0004-0000-0000-00002C020000}"/>
    <hyperlink ref="H192" r:id="rId558" xr:uid="{00000000-0004-0000-0000-00002D020000}"/>
    <hyperlink ref="I192" r:id="rId559" xr:uid="{00000000-0004-0000-0000-00002E020000}"/>
    <hyperlink ref="C193" r:id="rId560" xr:uid="{00000000-0004-0000-0000-00002F020000}"/>
    <hyperlink ref="H193" r:id="rId561" xr:uid="{00000000-0004-0000-0000-000030020000}"/>
    <hyperlink ref="I193" r:id="rId562" xr:uid="{00000000-0004-0000-0000-000031020000}"/>
    <hyperlink ref="C194" r:id="rId563" xr:uid="{00000000-0004-0000-0000-000032020000}"/>
    <hyperlink ref="H194" r:id="rId564" xr:uid="{00000000-0004-0000-0000-000033020000}"/>
    <hyperlink ref="I194" r:id="rId565" xr:uid="{00000000-0004-0000-0000-000034020000}"/>
    <hyperlink ref="C195" r:id="rId566" xr:uid="{00000000-0004-0000-0000-000035020000}"/>
    <hyperlink ref="H195" r:id="rId567" xr:uid="{00000000-0004-0000-0000-000036020000}"/>
    <hyperlink ref="I195" r:id="rId568" xr:uid="{00000000-0004-0000-0000-000037020000}"/>
    <hyperlink ref="C196" r:id="rId569" xr:uid="{00000000-0004-0000-0000-000038020000}"/>
    <hyperlink ref="H196" r:id="rId570" xr:uid="{00000000-0004-0000-0000-000039020000}"/>
    <hyperlink ref="I196" r:id="rId571" xr:uid="{00000000-0004-0000-0000-00003A020000}"/>
    <hyperlink ref="C197" r:id="rId572" xr:uid="{00000000-0004-0000-0000-00003B020000}"/>
    <hyperlink ref="H197" r:id="rId573" xr:uid="{00000000-0004-0000-0000-00003C020000}"/>
    <hyperlink ref="I197" r:id="rId574" xr:uid="{00000000-0004-0000-0000-00003D020000}"/>
    <hyperlink ref="C198" r:id="rId575" xr:uid="{00000000-0004-0000-0000-00003E020000}"/>
    <hyperlink ref="H198" r:id="rId576" xr:uid="{00000000-0004-0000-0000-00003F020000}"/>
    <hyperlink ref="I198" r:id="rId577" xr:uid="{00000000-0004-0000-0000-000040020000}"/>
    <hyperlink ref="C199" r:id="rId578" xr:uid="{00000000-0004-0000-0000-000041020000}"/>
    <hyperlink ref="H199" r:id="rId579" xr:uid="{00000000-0004-0000-0000-000042020000}"/>
    <hyperlink ref="I199" r:id="rId580" xr:uid="{00000000-0004-0000-0000-000043020000}"/>
    <hyperlink ref="C200" r:id="rId581" xr:uid="{00000000-0004-0000-0000-000044020000}"/>
    <hyperlink ref="H200" r:id="rId582" xr:uid="{00000000-0004-0000-0000-000045020000}"/>
    <hyperlink ref="I200" r:id="rId583" xr:uid="{00000000-0004-0000-0000-000046020000}"/>
    <hyperlink ref="C201" r:id="rId584" xr:uid="{00000000-0004-0000-0000-000047020000}"/>
    <hyperlink ref="H201" r:id="rId585" xr:uid="{00000000-0004-0000-0000-000048020000}"/>
    <hyperlink ref="I201" r:id="rId586" xr:uid="{00000000-0004-0000-0000-000049020000}"/>
    <hyperlink ref="C202" r:id="rId587" xr:uid="{00000000-0004-0000-0000-00004A020000}"/>
    <hyperlink ref="H202" r:id="rId588" xr:uid="{00000000-0004-0000-0000-00004B020000}"/>
    <hyperlink ref="I202" r:id="rId589" xr:uid="{00000000-0004-0000-0000-00004C020000}"/>
    <hyperlink ref="C203" r:id="rId590" xr:uid="{00000000-0004-0000-0000-00004D020000}"/>
    <hyperlink ref="H203" r:id="rId591" xr:uid="{00000000-0004-0000-0000-00004E020000}"/>
    <hyperlink ref="I203" r:id="rId592" xr:uid="{00000000-0004-0000-0000-00004F020000}"/>
    <hyperlink ref="C204" r:id="rId593" xr:uid="{00000000-0004-0000-0000-000050020000}"/>
    <hyperlink ref="H204" r:id="rId594" xr:uid="{00000000-0004-0000-0000-000051020000}"/>
    <hyperlink ref="I204" r:id="rId595" xr:uid="{00000000-0004-0000-0000-000052020000}"/>
    <hyperlink ref="C205" r:id="rId596" xr:uid="{00000000-0004-0000-0000-000053020000}"/>
    <hyperlink ref="H205" r:id="rId597" xr:uid="{00000000-0004-0000-0000-000054020000}"/>
    <hyperlink ref="I205" r:id="rId598" xr:uid="{00000000-0004-0000-0000-000055020000}"/>
    <hyperlink ref="C206" r:id="rId599" xr:uid="{00000000-0004-0000-0000-000056020000}"/>
    <hyperlink ref="H206" r:id="rId600" xr:uid="{00000000-0004-0000-0000-000057020000}"/>
    <hyperlink ref="I206" r:id="rId601" xr:uid="{00000000-0004-0000-0000-000058020000}"/>
    <hyperlink ref="C207" r:id="rId602" xr:uid="{00000000-0004-0000-0000-000059020000}"/>
    <hyperlink ref="H207" r:id="rId603" xr:uid="{00000000-0004-0000-0000-00005A020000}"/>
    <hyperlink ref="I207" r:id="rId604" xr:uid="{00000000-0004-0000-0000-00005B020000}"/>
    <hyperlink ref="C208" r:id="rId605" xr:uid="{00000000-0004-0000-0000-00005C020000}"/>
    <hyperlink ref="H208" r:id="rId606" xr:uid="{00000000-0004-0000-0000-00005D020000}"/>
    <hyperlink ref="I208" r:id="rId607" xr:uid="{00000000-0004-0000-0000-00005E020000}"/>
    <hyperlink ref="C209" r:id="rId608" xr:uid="{00000000-0004-0000-0000-00005F020000}"/>
    <hyperlink ref="H209" r:id="rId609" xr:uid="{00000000-0004-0000-0000-000060020000}"/>
    <hyperlink ref="I209" r:id="rId610" xr:uid="{00000000-0004-0000-0000-000061020000}"/>
    <hyperlink ref="C210" r:id="rId611" xr:uid="{00000000-0004-0000-0000-000062020000}"/>
    <hyperlink ref="H210" r:id="rId612" xr:uid="{00000000-0004-0000-0000-000063020000}"/>
    <hyperlink ref="I210" r:id="rId613" xr:uid="{00000000-0004-0000-0000-000064020000}"/>
    <hyperlink ref="C211" r:id="rId614" xr:uid="{00000000-0004-0000-0000-000065020000}"/>
    <hyperlink ref="H211" r:id="rId615" xr:uid="{00000000-0004-0000-0000-000066020000}"/>
    <hyperlink ref="I211" r:id="rId616" xr:uid="{00000000-0004-0000-0000-000067020000}"/>
    <hyperlink ref="C212" r:id="rId617" xr:uid="{00000000-0004-0000-0000-000068020000}"/>
    <hyperlink ref="H212" r:id="rId618" xr:uid="{00000000-0004-0000-0000-000069020000}"/>
    <hyperlink ref="I212" r:id="rId619" xr:uid="{00000000-0004-0000-0000-00006A020000}"/>
    <hyperlink ref="C213" r:id="rId620" xr:uid="{00000000-0004-0000-0000-00006B020000}"/>
    <hyperlink ref="H213" r:id="rId621" xr:uid="{00000000-0004-0000-0000-00006C020000}"/>
    <hyperlink ref="I213" r:id="rId622" xr:uid="{00000000-0004-0000-0000-00006D020000}"/>
    <hyperlink ref="C214" r:id="rId623" xr:uid="{00000000-0004-0000-0000-00006E020000}"/>
    <hyperlink ref="H214" r:id="rId624" xr:uid="{00000000-0004-0000-0000-00006F020000}"/>
    <hyperlink ref="I214" r:id="rId625" xr:uid="{00000000-0004-0000-0000-000070020000}"/>
    <hyperlink ref="C215" r:id="rId626" xr:uid="{00000000-0004-0000-0000-000071020000}"/>
    <hyperlink ref="H215" r:id="rId627" xr:uid="{00000000-0004-0000-0000-000072020000}"/>
    <hyperlink ref="I215" r:id="rId628" xr:uid="{00000000-0004-0000-0000-000073020000}"/>
    <hyperlink ref="C216" r:id="rId629" xr:uid="{00000000-0004-0000-0000-000074020000}"/>
    <hyperlink ref="H216" r:id="rId630" xr:uid="{00000000-0004-0000-0000-000075020000}"/>
    <hyperlink ref="I216" r:id="rId631" xr:uid="{00000000-0004-0000-0000-000076020000}"/>
    <hyperlink ref="C217" r:id="rId632" xr:uid="{00000000-0004-0000-0000-000077020000}"/>
    <hyperlink ref="H217" r:id="rId633" xr:uid="{00000000-0004-0000-0000-000078020000}"/>
    <hyperlink ref="I217" r:id="rId634" xr:uid="{00000000-0004-0000-0000-000079020000}"/>
    <hyperlink ref="C218" r:id="rId635" xr:uid="{00000000-0004-0000-0000-00007A020000}"/>
    <hyperlink ref="H218" r:id="rId636" xr:uid="{00000000-0004-0000-0000-00007B020000}"/>
    <hyperlink ref="I218" r:id="rId637" xr:uid="{00000000-0004-0000-0000-00007C020000}"/>
    <hyperlink ref="C219" r:id="rId638" xr:uid="{00000000-0004-0000-0000-00007D020000}"/>
    <hyperlink ref="H219" r:id="rId639" xr:uid="{00000000-0004-0000-0000-00007E020000}"/>
    <hyperlink ref="I219" r:id="rId640" xr:uid="{00000000-0004-0000-0000-00007F020000}"/>
    <hyperlink ref="C220" r:id="rId641" xr:uid="{00000000-0004-0000-0000-000080020000}"/>
    <hyperlink ref="H220" r:id="rId642" xr:uid="{00000000-0004-0000-0000-000081020000}"/>
    <hyperlink ref="I220" r:id="rId643" xr:uid="{00000000-0004-0000-0000-000082020000}"/>
    <hyperlink ref="C221" r:id="rId644" xr:uid="{00000000-0004-0000-0000-000083020000}"/>
    <hyperlink ref="H221" r:id="rId645" xr:uid="{00000000-0004-0000-0000-000084020000}"/>
    <hyperlink ref="I221" r:id="rId646" xr:uid="{00000000-0004-0000-0000-000085020000}"/>
    <hyperlink ref="C222" r:id="rId647" xr:uid="{00000000-0004-0000-0000-000086020000}"/>
    <hyperlink ref="H222" r:id="rId648" xr:uid="{00000000-0004-0000-0000-000087020000}"/>
    <hyperlink ref="I222" r:id="rId649" xr:uid="{00000000-0004-0000-0000-000088020000}"/>
    <hyperlink ref="C223" r:id="rId650" xr:uid="{00000000-0004-0000-0000-000089020000}"/>
    <hyperlink ref="H223" r:id="rId651" xr:uid="{00000000-0004-0000-0000-00008A020000}"/>
    <hyperlink ref="I223" r:id="rId652" xr:uid="{00000000-0004-0000-0000-00008B020000}"/>
    <hyperlink ref="C224" r:id="rId653" xr:uid="{00000000-0004-0000-0000-00008C020000}"/>
    <hyperlink ref="H224" r:id="rId654" xr:uid="{00000000-0004-0000-0000-00008D020000}"/>
    <hyperlink ref="I224" r:id="rId655" xr:uid="{00000000-0004-0000-0000-00008E020000}"/>
    <hyperlink ref="C225" r:id="rId656" xr:uid="{00000000-0004-0000-0000-00008F020000}"/>
    <hyperlink ref="H225" r:id="rId657" xr:uid="{00000000-0004-0000-0000-000090020000}"/>
    <hyperlink ref="I225" r:id="rId658" xr:uid="{00000000-0004-0000-0000-000091020000}"/>
    <hyperlink ref="C226" r:id="rId659" xr:uid="{00000000-0004-0000-0000-000092020000}"/>
    <hyperlink ref="H226" r:id="rId660" xr:uid="{00000000-0004-0000-0000-000093020000}"/>
    <hyperlink ref="I226" r:id="rId661" xr:uid="{00000000-0004-0000-0000-000094020000}"/>
    <hyperlink ref="C227" r:id="rId662" xr:uid="{00000000-0004-0000-0000-000095020000}"/>
    <hyperlink ref="H227" r:id="rId663" xr:uid="{00000000-0004-0000-0000-000096020000}"/>
    <hyperlink ref="I227" r:id="rId664" xr:uid="{00000000-0004-0000-0000-000097020000}"/>
    <hyperlink ref="C228" r:id="rId665" xr:uid="{00000000-0004-0000-0000-000098020000}"/>
    <hyperlink ref="H228" r:id="rId666" xr:uid="{00000000-0004-0000-0000-000099020000}"/>
    <hyperlink ref="I228" r:id="rId667" xr:uid="{00000000-0004-0000-0000-00009A020000}"/>
    <hyperlink ref="C229" r:id="rId668" xr:uid="{00000000-0004-0000-0000-00009B020000}"/>
    <hyperlink ref="H229" r:id="rId669" xr:uid="{00000000-0004-0000-0000-00009C020000}"/>
    <hyperlink ref="I229" r:id="rId670" xr:uid="{00000000-0004-0000-0000-00009D020000}"/>
    <hyperlink ref="C230" r:id="rId671" xr:uid="{00000000-0004-0000-0000-00009E020000}"/>
    <hyperlink ref="H230" r:id="rId672" xr:uid="{00000000-0004-0000-0000-00009F020000}"/>
    <hyperlink ref="I230" r:id="rId673" xr:uid="{00000000-0004-0000-0000-0000A0020000}"/>
    <hyperlink ref="C231" r:id="rId674" xr:uid="{00000000-0004-0000-0000-0000A1020000}"/>
    <hyperlink ref="H231" r:id="rId675" xr:uid="{00000000-0004-0000-0000-0000A2020000}"/>
    <hyperlink ref="I231" r:id="rId676" xr:uid="{00000000-0004-0000-0000-0000A3020000}"/>
    <hyperlink ref="C232" r:id="rId677" xr:uid="{00000000-0004-0000-0000-0000A4020000}"/>
    <hyperlink ref="H232" r:id="rId678" xr:uid="{00000000-0004-0000-0000-0000A5020000}"/>
    <hyperlink ref="I232" r:id="rId679" xr:uid="{00000000-0004-0000-0000-0000A6020000}"/>
    <hyperlink ref="C233" r:id="rId680" xr:uid="{00000000-0004-0000-0000-0000A7020000}"/>
    <hyperlink ref="H233" r:id="rId681" xr:uid="{00000000-0004-0000-0000-0000A8020000}"/>
    <hyperlink ref="I233" r:id="rId682" xr:uid="{00000000-0004-0000-0000-0000A9020000}"/>
    <hyperlink ref="C234" r:id="rId683" xr:uid="{00000000-0004-0000-0000-0000AA020000}"/>
    <hyperlink ref="H234" r:id="rId684" xr:uid="{00000000-0004-0000-0000-0000AB020000}"/>
    <hyperlink ref="I234" r:id="rId685" xr:uid="{00000000-0004-0000-0000-0000AC020000}"/>
    <hyperlink ref="C235" r:id="rId686" xr:uid="{00000000-0004-0000-0000-0000AD020000}"/>
    <hyperlink ref="H235" r:id="rId687" xr:uid="{00000000-0004-0000-0000-0000AE020000}"/>
    <hyperlink ref="I235" r:id="rId688" xr:uid="{00000000-0004-0000-0000-0000AF020000}"/>
    <hyperlink ref="C236" r:id="rId689" xr:uid="{00000000-0004-0000-0000-0000B0020000}"/>
    <hyperlink ref="H236" r:id="rId690" xr:uid="{00000000-0004-0000-0000-0000B1020000}"/>
    <hyperlink ref="I236" r:id="rId691" xr:uid="{00000000-0004-0000-0000-0000B2020000}"/>
    <hyperlink ref="C237" r:id="rId692" xr:uid="{00000000-0004-0000-0000-0000B3020000}"/>
    <hyperlink ref="H237" r:id="rId693" xr:uid="{00000000-0004-0000-0000-0000B4020000}"/>
    <hyperlink ref="I237" r:id="rId694" xr:uid="{00000000-0004-0000-0000-0000B5020000}"/>
    <hyperlink ref="C238" r:id="rId695" xr:uid="{00000000-0004-0000-0000-0000B6020000}"/>
    <hyperlink ref="H238" r:id="rId696" xr:uid="{00000000-0004-0000-0000-0000B7020000}"/>
    <hyperlink ref="I238" r:id="rId697" xr:uid="{00000000-0004-0000-0000-0000B8020000}"/>
    <hyperlink ref="C239" r:id="rId698" xr:uid="{00000000-0004-0000-0000-0000B9020000}"/>
    <hyperlink ref="H239" r:id="rId699" xr:uid="{00000000-0004-0000-0000-0000BA020000}"/>
    <hyperlink ref="I239" r:id="rId700" xr:uid="{00000000-0004-0000-0000-0000BB020000}"/>
    <hyperlink ref="C240" r:id="rId701" xr:uid="{00000000-0004-0000-0000-0000BC020000}"/>
    <hyperlink ref="H240" r:id="rId702" xr:uid="{00000000-0004-0000-0000-0000BD020000}"/>
    <hyperlink ref="I240" r:id="rId703" xr:uid="{00000000-0004-0000-0000-0000BE020000}"/>
    <hyperlink ref="C241" r:id="rId704" xr:uid="{00000000-0004-0000-0000-0000BF020000}"/>
    <hyperlink ref="H241" r:id="rId705" xr:uid="{00000000-0004-0000-0000-0000C0020000}"/>
    <hyperlink ref="I241" r:id="rId706" xr:uid="{00000000-0004-0000-0000-0000C1020000}"/>
    <hyperlink ref="C242" r:id="rId707" xr:uid="{00000000-0004-0000-0000-0000C2020000}"/>
    <hyperlink ref="H242" r:id="rId708" xr:uid="{00000000-0004-0000-0000-0000C3020000}"/>
    <hyperlink ref="I242" r:id="rId709" xr:uid="{00000000-0004-0000-0000-0000C4020000}"/>
    <hyperlink ref="C243" r:id="rId710" xr:uid="{00000000-0004-0000-0000-0000C5020000}"/>
    <hyperlink ref="H243" r:id="rId711" xr:uid="{00000000-0004-0000-0000-0000C6020000}"/>
    <hyperlink ref="I243" r:id="rId712" xr:uid="{00000000-0004-0000-0000-0000C7020000}"/>
    <hyperlink ref="C244" r:id="rId713" xr:uid="{00000000-0004-0000-0000-0000C8020000}"/>
    <hyperlink ref="H244" r:id="rId714" xr:uid="{00000000-0004-0000-0000-0000C9020000}"/>
    <hyperlink ref="I244" r:id="rId715" xr:uid="{00000000-0004-0000-0000-0000CA020000}"/>
    <hyperlink ref="C245" r:id="rId716" xr:uid="{00000000-0004-0000-0000-0000CB020000}"/>
    <hyperlink ref="H245" r:id="rId717" xr:uid="{00000000-0004-0000-0000-0000CC020000}"/>
    <hyperlink ref="I245" r:id="rId718" xr:uid="{00000000-0004-0000-0000-0000CD020000}"/>
    <hyperlink ref="C246" r:id="rId719" xr:uid="{00000000-0004-0000-0000-0000CE020000}"/>
    <hyperlink ref="H246" r:id="rId720" xr:uid="{00000000-0004-0000-0000-0000CF020000}"/>
    <hyperlink ref="I246" r:id="rId721" xr:uid="{00000000-0004-0000-0000-0000D0020000}"/>
    <hyperlink ref="C247" r:id="rId722" xr:uid="{00000000-0004-0000-0000-0000D1020000}"/>
    <hyperlink ref="H247" r:id="rId723" xr:uid="{00000000-0004-0000-0000-0000D2020000}"/>
    <hyperlink ref="I247" r:id="rId724" xr:uid="{00000000-0004-0000-0000-0000D3020000}"/>
    <hyperlink ref="C248" r:id="rId725" xr:uid="{00000000-0004-0000-0000-0000D4020000}"/>
    <hyperlink ref="H248" r:id="rId726" xr:uid="{00000000-0004-0000-0000-0000D5020000}"/>
    <hyperlink ref="I248" r:id="rId727" xr:uid="{00000000-0004-0000-0000-0000D6020000}"/>
    <hyperlink ref="C249" r:id="rId728" xr:uid="{00000000-0004-0000-0000-0000D7020000}"/>
    <hyperlink ref="H249" r:id="rId729" xr:uid="{00000000-0004-0000-0000-0000D8020000}"/>
    <hyperlink ref="I249" r:id="rId730" xr:uid="{00000000-0004-0000-0000-0000D9020000}"/>
    <hyperlink ref="C250" r:id="rId731" xr:uid="{00000000-0004-0000-0000-0000DA020000}"/>
    <hyperlink ref="H250" r:id="rId732" xr:uid="{00000000-0004-0000-0000-0000DB020000}"/>
    <hyperlink ref="I250" r:id="rId733" xr:uid="{00000000-0004-0000-0000-0000DC020000}"/>
    <hyperlink ref="C251" r:id="rId734" xr:uid="{00000000-0004-0000-0000-0000DD020000}"/>
    <hyperlink ref="H251" r:id="rId735" xr:uid="{00000000-0004-0000-0000-0000DE020000}"/>
    <hyperlink ref="I251" r:id="rId736" xr:uid="{00000000-0004-0000-0000-0000DF020000}"/>
    <hyperlink ref="C252" r:id="rId737" xr:uid="{00000000-0004-0000-0000-0000E0020000}"/>
    <hyperlink ref="H252" r:id="rId738" xr:uid="{00000000-0004-0000-0000-0000E1020000}"/>
    <hyperlink ref="I252" r:id="rId739" xr:uid="{00000000-0004-0000-0000-0000E2020000}"/>
    <hyperlink ref="C253" r:id="rId740" xr:uid="{00000000-0004-0000-0000-0000E3020000}"/>
    <hyperlink ref="H253" r:id="rId741" xr:uid="{00000000-0004-0000-0000-0000E4020000}"/>
    <hyperlink ref="I253" r:id="rId742" xr:uid="{00000000-0004-0000-0000-0000E5020000}"/>
    <hyperlink ref="C254" r:id="rId743" xr:uid="{00000000-0004-0000-0000-0000E6020000}"/>
    <hyperlink ref="H254" r:id="rId744" xr:uid="{00000000-0004-0000-0000-0000E7020000}"/>
    <hyperlink ref="I254" r:id="rId745" xr:uid="{00000000-0004-0000-0000-0000E8020000}"/>
    <hyperlink ref="C255" r:id="rId746" xr:uid="{00000000-0004-0000-0000-0000E9020000}"/>
    <hyperlink ref="H255" r:id="rId747" xr:uid="{00000000-0004-0000-0000-0000EA020000}"/>
    <hyperlink ref="I255" r:id="rId748" xr:uid="{00000000-0004-0000-0000-0000EB020000}"/>
    <hyperlink ref="C256" r:id="rId749" xr:uid="{00000000-0004-0000-0000-0000EC020000}"/>
    <hyperlink ref="H256" r:id="rId750" xr:uid="{00000000-0004-0000-0000-0000ED020000}"/>
    <hyperlink ref="I256" r:id="rId751" xr:uid="{00000000-0004-0000-0000-0000EE020000}"/>
    <hyperlink ref="C257" r:id="rId752" xr:uid="{00000000-0004-0000-0000-0000EF020000}"/>
    <hyperlink ref="H257" r:id="rId753" xr:uid="{00000000-0004-0000-0000-0000F0020000}"/>
    <hyperlink ref="I257" r:id="rId754" xr:uid="{00000000-0004-0000-0000-0000F1020000}"/>
    <hyperlink ref="C258" r:id="rId755" xr:uid="{00000000-0004-0000-0000-0000F2020000}"/>
    <hyperlink ref="H258" r:id="rId756" xr:uid="{00000000-0004-0000-0000-0000F3020000}"/>
    <hyperlink ref="I258" r:id="rId757" xr:uid="{00000000-0004-0000-0000-0000F4020000}"/>
    <hyperlink ref="C259" r:id="rId758" xr:uid="{00000000-0004-0000-0000-0000F5020000}"/>
    <hyperlink ref="H259" r:id="rId759" xr:uid="{00000000-0004-0000-0000-0000F6020000}"/>
    <hyperlink ref="I259" r:id="rId760" xr:uid="{00000000-0004-0000-0000-0000F7020000}"/>
    <hyperlink ref="C260" r:id="rId761" xr:uid="{00000000-0004-0000-0000-0000F8020000}"/>
    <hyperlink ref="H260" r:id="rId762" xr:uid="{00000000-0004-0000-0000-0000F9020000}"/>
    <hyperlink ref="I260" r:id="rId763" xr:uid="{00000000-0004-0000-0000-0000FA020000}"/>
    <hyperlink ref="C261" r:id="rId764" xr:uid="{00000000-0004-0000-0000-0000FB020000}"/>
    <hyperlink ref="H261" r:id="rId765" xr:uid="{00000000-0004-0000-0000-0000FC020000}"/>
    <hyperlink ref="I261" r:id="rId766" xr:uid="{00000000-0004-0000-0000-0000FD020000}"/>
    <hyperlink ref="C262" r:id="rId767" xr:uid="{00000000-0004-0000-0000-0000FE020000}"/>
    <hyperlink ref="H262" r:id="rId768" xr:uid="{00000000-0004-0000-0000-0000FF020000}"/>
    <hyperlink ref="I262" r:id="rId769" xr:uid="{00000000-0004-0000-0000-000000030000}"/>
    <hyperlink ref="C263" r:id="rId770" xr:uid="{00000000-0004-0000-0000-000001030000}"/>
    <hyperlink ref="H263" r:id="rId771" xr:uid="{00000000-0004-0000-0000-000002030000}"/>
    <hyperlink ref="I263" r:id="rId772" xr:uid="{00000000-0004-0000-0000-000003030000}"/>
    <hyperlink ref="C264" r:id="rId773" xr:uid="{00000000-0004-0000-0000-000004030000}"/>
    <hyperlink ref="H264" r:id="rId774" xr:uid="{00000000-0004-0000-0000-000005030000}"/>
    <hyperlink ref="I264" r:id="rId775" xr:uid="{00000000-0004-0000-0000-000006030000}"/>
    <hyperlink ref="C265" r:id="rId776" xr:uid="{00000000-0004-0000-0000-000007030000}"/>
    <hyperlink ref="H265" r:id="rId777" xr:uid="{00000000-0004-0000-0000-000008030000}"/>
    <hyperlink ref="I265" r:id="rId778" xr:uid="{00000000-0004-0000-0000-000009030000}"/>
    <hyperlink ref="C266" r:id="rId779" xr:uid="{00000000-0004-0000-0000-00000A030000}"/>
    <hyperlink ref="H266" r:id="rId780" xr:uid="{00000000-0004-0000-0000-00000B030000}"/>
    <hyperlink ref="I266" r:id="rId781" xr:uid="{00000000-0004-0000-0000-00000C030000}"/>
    <hyperlink ref="C267" r:id="rId782" xr:uid="{00000000-0004-0000-0000-00000D030000}"/>
    <hyperlink ref="H267" r:id="rId783" xr:uid="{00000000-0004-0000-0000-00000E030000}"/>
    <hyperlink ref="I267" r:id="rId784" xr:uid="{00000000-0004-0000-0000-00000F030000}"/>
    <hyperlink ref="C268" r:id="rId785" xr:uid="{00000000-0004-0000-0000-000010030000}"/>
    <hyperlink ref="H268" r:id="rId786" xr:uid="{00000000-0004-0000-0000-000011030000}"/>
    <hyperlink ref="I268" r:id="rId787" xr:uid="{00000000-0004-0000-0000-000012030000}"/>
    <hyperlink ref="C269" r:id="rId788" xr:uid="{00000000-0004-0000-0000-000013030000}"/>
    <hyperlink ref="H269" r:id="rId789" xr:uid="{00000000-0004-0000-0000-000014030000}"/>
    <hyperlink ref="I269" r:id="rId790" xr:uid="{00000000-0004-0000-0000-000015030000}"/>
    <hyperlink ref="C270" r:id="rId791" xr:uid="{00000000-0004-0000-0000-000016030000}"/>
    <hyperlink ref="H270" r:id="rId792" xr:uid="{00000000-0004-0000-0000-000017030000}"/>
    <hyperlink ref="I270" r:id="rId793" xr:uid="{00000000-0004-0000-0000-000018030000}"/>
    <hyperlink ref="C271" r:id="rId794" xr:uid="{00000000-0004-0000-0000-000019030000}"/>
    <hyperlink ref="H271" r:id="rId795" xr:uid="{00000000-0004-0000-0000-00001A030000}"/>
    <hyperlink ref="I271" r:id="rId796" xr:uid="{00000000-0004-0000-0000-00001B030000}"/>
    <hyperlink ref="C272" r:id="rId797" xr:uid="{00000000-0004-0000-0000-00001C030000}"/>
    <hyperlink ref="H272" r:id="rId798" xr:uid="{00000000-0004-0000-0000-00001D030000}"/>
    <hyperlink ref="I272" r:id="rId799" xr:uid="{00000000-0004-0000-0000-00001E030000}"/>
    <hyperlink ref="C273" r:id="rId800" xr:uid="{00000000-0004-0000-0000-00001F030000}"/>
    <hyperlink ref="H273" r:id="rId801" xr:uid="{00000000-0004-0000-0000-000020030000}"/>
    <hyperlink ref="I273" r:id="rId802" xr:uid="{00000000-0004-0000-0000-000021030000}"/>
    <hyperlink ref="C274" r:id="rId803" xr:uid="{00000000-0004-0000-0000-000022030000}"/>
    <hyperlink ref="H274" r:id="rId804" xr:uid="{00000000-0004-0000-0000-000023030000}"/>
    <hyperlink ref="I274" r:id="rId805" xr:uid="{00000000-0004-0000-0000-000024030000}"/>
    <hyperlink ref="C275" r:id="rId806" xr:uid="{00000000-0004-0000-0000-000025030000}"/>
    <hyperlink ref="H275" r:id="rId807" xr:uid="{00000000-0004-0000-0000-000026030000}"/>
    <hyperlink ref="I275" r:id="rId808" xr:uid="{00000000-0004-0000-0000-000027030000}"/>
    <hyperlink ref="C276" r:id="rId809" xr:uid="{00000000-0004-0000-0000-000028030000}"/>
    <hyperlink ref="H276" r:id="rId810" xr:uid="{00000000-0004-0000-0000-000029030000}"/>
    <hyperlink ref="I276" r:id="rId811" xr:uid="{00000000-0004-0000-0000-00002A030000}"/>
    <hyperlink ref="C277" r:id="rId812" xr:uid="{00000000-0004-0000-0000-00002B030000}"/>
    <hyperlink ref="H277" r:id="rId813" xr:uid="{00000000-0004-0000-0000-00002C030000}"/>
    <hyperlink ref="I277" r:id="rId814" xr:uid="{00000000-0004-0000-0000-00002D030000}"/>
    <hyperlink ref="C278" r:id="rId815" xr:uid="{00000000-0004-0000-0000-00002E030000}"/>
    <hyperlink ref="H278" r:id="rId816" xr:uid="{00000000-0004-0000-0000-00002F030000}"/>
    <hyperlink ref="I278" r:id="rId817" xr:uid="{00000000-0004-0000-0000-000030030000}"/>
    <hyperlink ref="C279" r:id="rId818" xr:uid="{00000000-0004-0000-0000-000031030000}"/>
    <hyperlink ref="H279" r:id="rId819" xr:uid="{00000000-0004-0000-0000-000032030000}"/>
    <hyperlink ref="I279" r:id="rId820" xr:uid="{00000000-0004-0000-0000-000033030000}"/>
    <hyperlink ref="C280" r:id="rId821" xr:uid="{00000000-0004-0000-0000-000034030000}"/>
    <hyperlink ref="H280" r:id="rId822" xr:uid="{00000000-0004-0000-0000-000035030000}"/>
    <hyperlink ref="I280" r:id="rId823" xr:uid="{00000000-0004-0000-0000-000036030000}"/>
    <hyperlink ref="C281" r:id="rId824" xr:uid="{00000000-0004-0000-0000-000037030000}"/>
    <hyperlink ref="H281" r:id="rId825" xr:uid="{00000000-0004-0000-0000-000038030000}"/>
    <hyperlink ref="I281" r:id="rId826" xr:uid="{00000000-0004-0000-0000-000039030000}"/>
    <hyperlink ref="C282" r:id="rId827" xr:uid="{00000000-0004-0000-0000-00003A030000}"/>
    <hyperlink ref="H282" r:id="rId828" xr:uid="{00000000-0004-0000-0000-00003B030000}"/>
    <hyperlink ref="I282" r:id="rId829" xr:uid="{00000000-0004-0000-0000-00003C030000}"/>
    <hyperlink ref="C283" r:id="rId830" xr:uid="{00000000-0004-0000-0000-00003D030000}"/>
    <hyperlink ref="H283" r:id="rId831" xr:uid="{00000000-0004-0000-0000-00003E030000}"/>
    <hyperlink ref="I283" r:id="rId832" xr:uid="{00000000-0004-0000-0000-00003F030000}"/>
    <hyperlink ref="C284" r:id="rId833" xr:uid="{00000000-0004-0000-0000-000040030000}"/>
    <hyperlink ref="H284" r:id="rId834" xr:uid="{00000000-0004-0000-0000-000041030000}"/>
    <hyperlink ref="I284" r:id="rId835" xr:uid="{00000000-0004-0000-0000-000042030000}"/>
    <hyperlink ref="C285" r:id="rId836" xr:uid="{00000000-0004-0000-0000-000043030000}"/>
    <hyperlink ref="H285" r:id="rId837" xr:uid="{00000000-0004-0000-0000-000044030000}"/>
    <hyperlink ref="I285" r:id="rId838" xr:uid="{00000000-0004-0000-0000-000045030000}"/>
    <hyperlink ref="C286" r:id="rId839" xr:uid="{00000000-0004-0000-0000-000046030000}"/>
    <hyperlink ref="H286" r:id="rId840" xr:uid="{00000000-0004-0000-0000-000047030000}"/>
    <hyperlink ref="I286" r:id="rId841" xr:uid="{00000000-0004-0000-0000-000048030000}"/>
    <hyperlink ref="C287" r:id="rId842" xr:uid="{00000000-0004-0000-0000-000049030000}"/>
    <hyperlink ref="H287" r:id="rId843" xr:uid="{00000000-0004-0000-0000-00004A030000}"/>
    <hyperlink ref="I287" r:id="rId844" xr:uid="{00000000-0004-0000-0000-00004B030000}"/>
    <hyperlink ref="C288" r:id="rId845" xr:uid="{00000000-0004-0000-0000-00004C030000}"/>
    <hyperlink ref="H288" r:id="rId846" xr:uid="{00000000-0004-0000-0000-00004D030000}"/>
    <hyperlink ref="I288" r:id="rId847" xr:uid="{00000000-0004-0000-0000-00004E030000}"/>
    <hyperlink ref="C289" r:id="rId848" xr:uid="{00000000-0004-0000-0000-00004F030000}"/>
    <hyperlink ref="H289" r:id="rId849" xr:uid="{00000000-0004-0000-0000-000050030000}"/>
    <hyperlink ref="I289" r:id="rId850" xr:uid="{00000000-0004-0000-0000-000051030000}"/>
    <hyperlink ref="C290" r:id="rId851" xr:uid="{00000000-0004-0000-0000-000052030000}"/>
    <hyperlink ref="H290" r:id="rId852" xr:uid="{00000000-0004-0000-0000-000053030000}"/>
    <hyperlink ref="I290" r:id="rId853" xr:uid="{00000000-0004-0000-0000-000054030000}"/>
    <hyperlink ref="C291" r:id="rId854" xr:uid="{00000000-0004-0000-0000-000055030000}"/>
    <hyperlink ref="H291" r:id="rId855" xr:uid="{00000000-0004-0000-0000-000056030000}"/>
    <hyperlink ref="I291" r:id="rId856" xr:uid="{00000000-0004-0000-0000-000057030000}"/>
    <hyperlink ref="C292" r:id="rId857" xr:uid="{00000000-0004-0000-0000-000058030000}"/>
    <hyperlink ref="H292" r:id="rId858" xr:uid="{00000000-0004-0000-0000-000059030000}"/>
    <hyperlink ref="I292" r:id="rId859" xr:uid="{00000000-0004-0000-0000-00005A030000}"/>
    <hyperlink ref="C293" r:id="rId860" xr:uid="{00000000-0004-0000-0000-00005B030000}"/>
    <hyperlink ref="H293" r:id="rId861" xr:uid="{00000000-0004-0000-0000-00005C030000}"/>
    <hyperlink ref="I293" r:id="rId862" xr:uid="{00000000-0004-0000-0000-00005D030000}"/>
    <hyperlink ref="C294" r:id="rId863" xr:uid="{00000000-0004-0000-0000-00005E030000}"/>
    <hyperlink ref="H294" r:id="rId864" xr:uid="{00000000-0004-0000-0000-00005F030000}"/>
    <hyperlink ref="I294" r:id="rId865" xr:uid="{00000000-0004-0000-0000-000060030000}"/>
    <hyperlink ref="C295" r:id="rId866" xr:uid="{00000000-0004-0000-0000-000061030000}"/>
    <hyperlink ref="H295" r:id="rId867" xr:uid="{00000000-0004-0000-0000-000062030000}"/>
    <hyperlink ref="I295" r:id="rId868" xr:uid="{00000000-0004-0000-0000-000063030000}"/>
    <hyperlink ref="C296" r:id="rId869" xr:uid="{00000000-0004-0000-0000-000064030000}"/>
    <hyperlink ref="H296" r:id="rId870" xr:uid="{00000000-0004-0000-0000-000065030000}"/>
    <hyperlink ref="I296" r:id="rId871" xr:uid="{00000000-0004-0000-0000-000066030000}"/>
    <hyperlink ref="C297" r:id="rId872" xr:uid="{00000000-0004-0000-0000-000067030000}"/>
    <hyperlink ref="H297" r:id="rId873" xr:uid="{00000000-0004-0000-0000-000068030000}"/>
    <hyperlink ref="I297" r:id="rId874" xr:uid="{00000000-0004-0000-0000-000069030000}"/>
    <hyperlink ref="C298" r:id="rId875" xr:uid="{00000000-0004-0000-0000-00006A030000}"/>
    <hyperlink ref="H298" r:id="rId876" xr:uid="{00000000-0004-0000-0000-00006B030000}"/>
    <hyperlink ref="I298" r:id="rId877" xr:uid="{00000000-0004-0000-0000-00006C030000}"/>
    <hyperlink ref="C299" r:id="rId878" xr:uid="{00000000-0004-0000-0000-00006D030000}"/>
    <hyperlink ref="H299" r:id="rId879" xr:uid="{00000000-0004-0000-0000-00006E030000}"/>
    <hyperlink ref="I299" r:id="rId880" xr:uid="{00000000-0004-0000-0000-00006F030000}"/>
    <hyperlink ref="C300" r:id="rId881" xr:uid="{00000000-0004-0000-0000-000070030000}"/>
    <hyperlink ref="H300" r:id="rId882" xr:uid="{00000000-0004-0000-0000-000071030000}"/>
    <hyperlink ref="I300" r:id="rId883" xr:uid="{00000000-0004-0000-0000-000072030000}"/>
    <hyperlink ref="C301" r:id="rId884" xr:uid="{00000000-0004-0000-0000-000073030000}"/>
    <hyperlink ref="H301" r:id="rId885" xr:uid="{00000000-0004-0000-0000-000074030000}"/>
    <hyperlink ref="I301" r:id="rId886" xr:uid="{00000000-0004-0000-0000-000075030000}"/>
    <hyperlink ref="C302" r:id="rId887" xr:uid="{00000000-0004-0000-0000-000076030000}"/>
    <hyperlink ref="H302" r:id="rId888" xr:uid="{00000000-0004-0000-0000-000077030000}"/>
    <hyperlink ref="I302" r:id="rId889" xr:uid="{00000000-0004-0000-0000-000078030000}"/>
    <hyperlink ref="C303" r:id="rId890" xr:uid="{00000000-0004-0000-0000-000079030000}"/>
    <hyperlink ref="H303" r:id="rId891" xr:uid="{00000000-0004-0000-0000-00007A030000}"/>
    <hyperlink ref="I303" r:id="rId892" xr:uid="{00000000-0004-0000-0000-00007B030000}"/>
    <hyperlink ref="C304" r:id="rId893" xr:uid="{00000000-0004-0000-0000-00007C030000}"/>
    <hyperlink ref="H304" r:id="rId894" xr:uid="{00000000-0004-0000-0000-00007D030000}"/>
    <hyperlink ref="I304" r:id="rId895" xr:uid="{00000000-0004-0000-0000-00007E030000}"/>
    <hyperlink ref="C305" r:id="rId896" xr:uid="{00000000-0004-0000-0000-00007F030000}"/>
    <hyperlink ref="H305" r:id="rId897" xr:uid="{00000000-0004-0000-0000-000080030000}"/>
    <hyperlink ref="I305" r:id="rId898" xr:uid="{00000000-0004-0000-0000-000081030000}"/>
    <hyperlink ref="C306" r:id="rId899" xr:uid="{00000000-0004-0000-0000-000082030000}"/>
    <hyperlink ref="H306" r:id="rId900" xr:uid="{00000000-0004-0000-0000-000083030000}"/>
    <hyperlink ref="I306" r:id="rId901" xr:uid="{00000000-0004-0000-0000-000084030000}"/>
    <hyperlink ref="C307" r:id="rId902" xr:uid="{00000000-0004-0000-0000-000085030000}"/>
    <hyperlink ref="H307" r:id="rId903" xr:uid="{00000000-0004-0000-0000-000086030000}"/>
    <hyperlink ref="I307" r:id="rId904" xr:uid="{00000000-0004-0000-0000-000087030000}"/>
    <hyperlink ref="C308" r:id="rId905" xr:uid="{00000000-0004-0000-0000-000088030000}"/>
    <hyperlink ref="H308" r:id="rId906" xr:uid="{00000000-0004-0000-0000-000089030000}"/>
    <hyperlink ref="I308" r:id="rId907" xr:uid="{00000000-0004-0000-0000-00008A030000}"/>
    <hyperlink ref="C309" r:id="rId908" xr:uid="{00000000-0004-0000-0000-00008B030000}"/>
    <hyperlink ref="H309" r:id="rId909" xr:uid="{00000000-0004-0000-0000-00008C030000}"/>
    <hyperlink ref="I309" r:id="rId910" xr:uid="{00000000-0004-0000-0000-00008D030000}"/>
    <hyperlink ref="C310" r:id="rId911" xr:uid="{00000000-0004-0000-0000-00008E030000}"/>
    <hyperlink ref="H310" r:id="rId912" xr:uid="{00000000-0004-0000-0000-00008F030000}"/>
    <hyperlink ref="I310" r:id="rId913" xr:uid="{00000000-0004-0000-0000-000090030000}"/>
    <hyperlink ref="C311" r:id="rId914" xr:uid="{00000000-0004-0000-0000-000091030000}"/>
    <hyperlink ref="H311" r:id="rId915" xr:uid="{00000000-0004-0000-0000-000092030000}"/>
    <hyperlink ref="I311" r:id="rId916" xr:uid="{00000000-0004-0000-0000-000093030000}"/>
    <hyperlink ref="C312" r:id="rId917" xr:uid="{00000000-0004-0000-0000-000094030000}"/>
    <hyperlink ref="H312" r:id="rId918" xr:uid="{00000000-0004-0000-0000-000095030000}"/>
    <hyperlink ref="I312" r:id="rId919" xr:uid="{00000000-0004-0000-0000-000096030000}"/>
    <hyperlink ref="C313" r:id="rId920" xr:uid="{00000000-0004-0000-0000-000097030000}"/>
    <hyperlink ref="H313" r:id="rId921" xr:uid="{00000000-0004-0000-0000-000098030000}"/>
    <hyperlink ref="I313" r:id="rId922" xr:uid="{00000000-0004-0000-0000-000099030000}"/>
    <hyperlink ref="C314" r:id="rId923" xr:uid="{00000000-0004-0000-0000-00009A030000}"/>
    <hyperlink ref="H314" r:id="rId924" xr:uid="{00000000-0004-0000-0000-00009B030000}"/>
    <hyperlink ref="I314" r:id="rId925" xr:uid="{00000000-0004-0000-0000-00009C030000}"/>
    <hyperlink ref="C315" r:id="rId926" xr:uid="{00000000-0004-0000-0000-00009D030000}"/>
    <hyperlink ref="H315" r:id="rId927" xr:uid="{00000000-0004-0000-0000-00009E030000}"/>
    <hyperlink ref="I315" r:id="rId928" xr:uid="{00000000-0004-0000-0000-00009F030000}"/>
    <hyperlink ref="C316" r:id="rId929" xr:uid="{00000000-0004-0000-0000-0000A0030000}"/>
    <hyperlink ref="H316" r:id="rId930" xr:uid="{00000000-0004-0000-0000-0000A1030000}"/>
    <hyperlink ref="I316" r:id="rId931" xr:uid="{00000000-0004-0000-0000-0000A2030000}"/>
    <hyperlink ref="C317" r:id="rId932" xr:uid="{00000000-0004-0000-0000-0000A3030000}"/>
    <hyperlink ref="H317" r:id="rId933" xr:uid="{00000000-0004-0000-0000-0000A4030000}"/>
    <hyperlink ref="I317" r:id="rId934" xr:uid="{00000000-0004-0000-0000-0000A5030000}"/>
    <hyperlink ref="C318" r:id="rId935" xr:uid="{00000000-0004-0000-0000-0000A6030000}"/>
    <hyperlink ref="H318" r:id="rId936" xr:uid="{00000000-0004-0000-0000-0000A7030000}"/>
    <hyperlink ref="I318" r:id="rId937" xr:uid="{00000000-0004-0000-0000-0000A8030000}"/>
    <hyperlink ref="C319" r:id="rId938" xr:uid="{00000000-0004-0000-0000-0000A9030000}"/>
    <hyperlink ref="H319" r:id="rId939" xr:uid="{00000000-0004-0000-0000-0000AA030000}"/>
    <hyperlink ref="I319" r:id="rId940" xr:uid="{00000000-0004-0000-0000-0000AB030000}"/>
    <hyperlink ref="C320" r:id="rId941" xr:uid="{00000000-0004-0000-0000-0000AC030000}"/>
    <hyperlink ref="H320" r:id="rId942" xr:uid="{00000000-0004-0000-0000-0000AD030000}"/>
    <hyperlink ref="I320" r:id="rId943" xr:uid="{00000000-0004-0000-0000-0000AE030000}"/>
    <hyperlink ref="C321" r:id="rId944" xr:uid="{00000000-0004-0000-0000-0000AF030000}"/>
    <hyperlink ref="H321" r:id="rId945" xr:uid="{00000000-0004-0000-0000-0000B0030000}"/>
    <hyperlink ref="I321" r:id="rId946" xr:uid="{00000000-0004-0000-0000-0000B1030000}"/>
    <hyperlink ref="C322" r:id="rId947" xr:uid="{00000000-0004-0000-0000-0000B2030000}"/>
    <hyperlink ref="H322" r:id="rId948" xr:uid="{00000000-0004-0000-0000-0000B3030000}"/>
    <hyperlink ref="I322" r:id="rId949" xr:uid="{00000000-0004-0000-0000-0000B4030000}"/>
    <hyperlink ref="C323" r:id="rId950" xr:uid="{00000000-0004-0000-0000-0000B5030000}"/>
    <hyperlink ref="H323" r:id="rId951" xr:uid="{00000000-0004-0000-0000-0000B6030000}"/>
    <hyperlink ref="I323" r:id="rId952" xr:uid="{00000000-0004-0000-0000-0000B7030000}"/>
    <hyperlink ref="C324" r:id="rId953" xr:uid="{00000000-0004-0000-0000-0000B8030000}"/>
    <hyperlink ref="D324" r:id="rId954" location="cite_note-Pinto_Bandeira-3" xr:uid="{00000000-0004-0000-0000-0000B9030000}"/>
    <hyperlink ref="H324" r:id="rId955" xr:uid="{00000000-0004-0000-0000-0000BA030000}"/>
    <hyperlink ref="I324" r:id="rId956" xr:uid="{00000000-0004-0000-0000-0000BB030000}"/>
    <hyperlink ref="C325" r:id="rId957" xr:uid="{00000000-0004-0000-0000-0000BC030000}"/>
    <hyperlink ref="H325" r:id="rId958" xr:uid="{00000000-0004-0000-0000-0000BD030000}"/>
    <hyperlink ref="I325" r:id="rId959" xr:uid="{00000000-0004-0000-0000-0000BE030000}"/>
    <hyperlink ref="C326" r:id="rId960" xr:uid="{00000000-0004-0000-0000-0000BF030000}"/>
    <hyperlink ref="H326" r:id="rId961" xr:uid="{00000000-0004-0000-0000-0000C0030000}"/>
    <hyperlink ref="I326" r:id="rId962" xr:uid="{00000000-0004-0000-0000-0000C1030000}"/>
    <hyperlink ref="C327" r:id="rId963" xr:uid="{00000000-0004-0000-0000-0000C2030000}"/>
    <hyperlink ref="H327" r:id="rId964" xr:uid="{00000000-0004-0000-0000-0000C3030000}"/>
    <hyperlink ref="I327" r:id="rId965" xr:uid="{00000000-0004-0000-0000-0000C4030000}"/>
    <hyperlink ref="C328" r:id="rId966" xr:uid="{00000000-0004-0000-0000-0000C5030000}"/>
    <hyperlink ref="H328" r:id="rId967" xr:uid="{00000000-0004-0000-0000-0000C6030000}"/>
    <hyperlink ref="I328" r:id="rId968" xr:uid="{00000000-0004-0000-0000-0000C7030000}"/>
    <hyperlink ref="C329" r:id="rId969" xr:uid="{00000000-0004-0000-0000-0000C8030000}"/>
    <hyperlink ref="H329" r:id="rId970" xr:uid="{00000000-0004-0000-0000-0000C9030000}"/>
    <hyperlink ref="I329" r:id="rId971" xr:uid="{00000000-0004-0000-0000-0000CA030000}"/>
    <hyperlink ref="C330" r:id="rId972" xr:uid="{00000000-0004-0000-0000-0000CB030000}"/>
    <hyperlink ref="H330" r:id="rId973" xr:uid="{00000000-0004-0000-0000-0000CC030000}"/>
    <hyperlink ref="I330" r:id="rId974" xr:uid="{00000000-0004-0000-0000-0000CD030000}"/>
    <hyperlink ref="C331" r:id="rId975" xr:uid="{00000000-0004-0000-0000-0000CE030000}"/>
    <hyperlink ref="H331" r:id="rId976" xr:uid="{00000000-0004-0000-0000-0000CF030000}"/>
    <hyperlink ref="I331" r:id="rId977" xr:uid="{00000000-0004-0000-0000-0000D0030000}"/>
    <hyperlink ref="C332" r:id="rId978" xr:uid="{00000000-0004-0000-0000-0000D1030000}"/>
    <hyperlink ref="H332" r:id="rId979" xr:uid="{00000000-0004-0000-0000-0000D2030000}"/>
    <hyperlink ref="I332" r:id="rId980" xr:uid="{00000000-0004-0000-0000-0000D3030000}"/>
    <hyperlink ref="C333" r:id="rId981" xr:uid="{00000000-0004-0000-0000-0000D4030000}"/>
    <hyperlink ref="H333" r:id="rId982" xr:uid="{00000000-0004-0000-0000-0000D5030000}"/>
    <hyperlink ref="I333" r:id="rId983" xr:uid="{00000000-0004-0000-0000-0000D6030000}"/>
    <hyperlink ref="C334" r:id="rId984" xr:uid="{00000000-0004-0000-0000-0000D7030000}"/>
    <hyperlink ref="H334" r:id="rId985" xr:uid="{00000000-0004-0000-0000-0000D8030000}"/>
    <hyperlink ref="I334" r:id="rId986" xr:uid="{00000000-0004-0000-0000-0000D9030000}"/>
    <hyperlink ref="C335" r:id="rId987" xr:uid="{00000000-0004-0000-0000-0000DA030000}"/>
    <hyperlink ref="H335" r:id="rId988" xr:uid="{00000000-0004-0000-0000-0000DB030000}"/>
    <hyperlink ref="I335" r:id="rId989" xr:uid="{00000000-0004-0000-0000-0000DC030000}"/>
    <hyperlink ref="C336" r:id="rId990" xr:uid="{00000000-0004-0000-0000-0000DD030000}"/>
    <hyperlink ref="H336" r:id="rId991" xr:uid="{00000000-0004-0000-0000-0000DE030000}"/>
    <hyperlink ref="I336" r:id="rId992" xr:uid="{00000000-0004-0000-0000-0000DF030000}"/>
    <hyperlink ref="C337" r:id="rId993" xr:uid="{00000000-0004-0000-0000-0000E0030000}"/>
    <hyperlink ref="H337" r:id="rId994" xr:uid="{00000000-0004-0000-0000-0000E1030000}"/>
    <hyperlink ref="I337" r:id="rId995" xr:uid="{00000000-0004-0000-0000-0000E2030000}"/>
    <hyperlink ref="C338" r:id="rId996" xr:uid="{00000000-0004-0000-0000-0000E3030000}"/>
    <hyperlink ref="H338" r:id="rId997" xr:uid="{00000000-0004-0000-0000-0000E4030000}"/>
    <hyperlink ref="I338" r:id="rId998" xr:uid="{00000000-0004-0000-0000-0000E5030000}"/>
    <hyperlink ref="C339" r:id="rId999" xr:uid="{00000000-0004-0000-0000-0000E6030000}"/>
    <hyperlink ref="H339" r:id="rId1000" xr:uid="{00000000-0004-0000-0000-0000E7030000}"/>
    <hyperlink ref="I339" r:id="rId1001" xr:uid="{00000000-0004-0000-0000-0000E8030000}"/>
    <hyperlink ref="C340" r:id="rId1002" xr:uid="{00000000-0004-0000-0000-0000E9030000}"/>
    <hyperlink ref="H340" r:id="rId1003" xr:uid="{00000000-0004-0000-0000-0000EA030000}"/>
    <hyperlink ref="I340" r:id="rId1004" xr:uid="{00000000-0004-0000-0000-0000EB030000}"/>
    <hyperlink ref="C341" r:id="rId1005" xr:uid="{00000000-0004-0000-0000-0000EC030000}"/>
    <hyperlink ref="H341" r:id="rId1006" xr:uid="{00000000-0004-0000-0000-0000ED030000}"/>
    <hyperlink ref="I341" r:id="rId1007" xr:uid="{00000000-0004-0000-0000-0000EE030000}"/>
    <hyperlink ref="C342" r:id="rId1008" xr:uid="{00000000-0004-0000-0000-0000EF030000}"/>
    <hyperlink ref="H342" r:id="rId1009" xr:uid="{00000000-0004-0000-0000-0000F0030000}"/>
    <hyperlink ref="I342" r:id="rId1010" xr:uid="{00000000-0004-0000-0000-0000F1030000}"/>
    <hyperlink ref="C343" r:id="rId1011" xr:uid="{00000000-0004-0000-0000-0000F2030000}"/>
    <hyperlink ref="H343" r:id="rId1012" xr:uid="{00000000-0004-0000-0000-0000F3030000}"/>
    <hyperlink ref="I343" r:id="rId1013" xr:uid="{00000000-0004-0000-0000-0000F4030000}"/>
    <hyperlink ref="C344" r:id="rId1014" xr:uid="{00000000-0004-0000-0000-0000F5030000}"/>
    <hyperlink ref="H344" r:id="rId1015" xr:uid="{00000000-0004-0000-0000-0000F6030000}"/>
    <hyperlink ref="I344" r:id="rId1016" xr:uid="{00000000-0004-0000-0000-0000F7030000}"/>
    <hyperlink ref="C345" r:id="rId1017" xr:uid="{00000000-0004-0000-0000-0000F8030000}"/>
    <hyperlink ref="H345" r:id="rId1018" xr:uid="{00000000-0004-0000-0000-0000F9030000}"/>
    <hyperlink ref="I345" r:id="rId1019" xr:uid="{00000000-0004-0000-0000-0000FA030000}"/>
    <hyperlink ref="C346" r:id="rId1020" xr:uid="{00000000-0004-0000-0000-0000FB030000}"/>
    <hyperlink ref="H346" r:id="rId1021" xr:uid="{00000000-0004-0000-0000-0000FC030000}"/>
    <hyperlink ref="I346" r:id="rId1022" xr:uid="{00000000-0004-0000-0000-0000FD030000}"/>
    <hyperlink ref="C347" r:id="rId1023" xr:uid="{00000000-0004-0000-0000-0000FE030000}"/>
    <hyperlink ref="H347" r:id="rId1024" xr:uid="{00000000-0004-0000-0000-0000FF030000}"/>
    <hyperlink ref="I347" r:id="rId1025" xr:uid="{00000000-0004-0000-0000-000000040000}"/>
    <hyperlink ref="C348" r:id="rId1026" xr:uid="{00000000-0004-0000-0000-000001040000}"/>
    <hyperlink ref="H348" r:id="rId1027" xr:uid="{00000000-0004-0000-0000-000002040000}"/>
    <hyperlink ref="I348" r:id="rId1028" xr:uid="{00000000-0004-0000-0000-000003040000}"/>
    <hyperlink ref="C349" r:id="rId1029" xr:uid="{00000000-0004-0000-0000-000004040000}"/>
    <hyperlink ref="H349" r:id="rId1030" xr:uid="{00000000-0004-0000-0000-000005040000}"/>
    <hyperlink ref="I349" r:id="rId1031" xr:uid="{00000000-0004-0000-0000-000006040000}"/>
    <hyperlink ref="C350" r:id="rId1032" xr:uid="{00000000-0004-0000-0000-000007040000}"/>
    <hyperlink ref="H350" r:id="rId1033" xr:uid="{00000000-0004-0000-0000-000008040000}"/>
    <hyperlink ref="I350" r:id="rId1034" xr:uid="{00000000-0004-0000-0000-000009040000}"/>
    <hyperlink ref="C351" r:id="rId1035" xr:uid="{00000000-0004-0000-0000-00000A040000}"/>
    <hyperlink ref="H351" r:id="rId1036" xr:uid="{00000000-0004-0000-0000-00000B040000}"/>
    <hyperlink ref="I351" r:id="rId1037" xr:uid="{00000000-0004-0000-0000-00000C040000}"/>
    <hyperlink ref="C352" r:id="rId1038" xr:uid="{00000000-0004-0000-0000-00000D040000}"/>
    <hyperlink ref="H352" r:id="rId1039" xr:uid="{00000000-0004-0000-0000-00000E040000}"/>
    <hyperlink ref="I352" r:id="rId1040" xr:uid="{00000000-0004-0000-0000-00000F040000}"/>
    <hyperlink ref="C353" r:id="rId1041" xr:uid="{00000000-0004-0000-0000-000010040000}"/>
    <hyperlink ref="H353" r:id="rId1042" xr:uid="{00000000-0004-0000-0000-000011040000}"/>
    <hyperlink ref="I353" r:id="rId1043" xr:uid="{00000000-0004-0000-0000-000012040000}"/>
    <hyperlink ref="C354" r:id="rId1044" xr:uid="{00000000-0004-0000-0000-000013040000}"/>
    <hyperlink ref="H354" r:id="rId1045" xr:uid="{00000000-0004-0000-0000-000014040000}"/>
    <hyperlink ref="I354" r:id="rId1046" xr:uid="{00000000-0004-0000-0000-000015040000}"/>
    <hyperlink ref="C355" r:id="rId1047" xr:uid="{00000000-0004-0000-0000-000016040000}"/>
    <hyperlink ref="H355" r:id="rId1048" xr:uid="{00000000-0004-0000-0000-000017040000}"/>
    <hyperlink ref="I355" r:id="rId1049" xr:uid="{00000000-0004-0000-0000-000018040000}"/>
    <hyperlink ref="C356" r:id="rId1050" xr:uid="{00000000-0004-0000-0000-000019040000}"/>
    <hyperlink ref="H356" r:id="rId1051" xr:uid="{00000000-0004-0000-0000-00001A040000}"/>
    <hyperlink ref="I356" r:id="rId1052" xr:uid="{00000000-0004-0000-0000-00001B040000}"/>
    <hyperlink ref="C357" r:id="rId1053" xr:uid="{00000000-0004-0000-0000-00001C040000}"/>
    <hyperlink ref="H357" r:id="rId1054" xr:uid="{00000000-0004-0000-0000-00001D040000}"/>
    <hyperlink ref="I357" r:id="rId1055" xr:uid="{00000000-0004-0000-0000-00001E040000}"/>
    <hyperlink ref="C358" r:id="rId1056" xr:uid="{00000000-0004-0000-0000-00001F040000}"/>
    <hyperlink ref="H358" r:id="rId1057" xr:uid="{00000000-0004-0000-0000-000020040000}"/>
    <hyperlink ref="I358" r:id="rId1058" xr:uid="{00000000-0004-0000-0000-000021040000}"/>
    <hyperlink ref="C359" r:id="rId1059" xr:uid="{00000000-0004-0000-0000-000022040000}"/>
    <hyperlink ref="H359" r:id="rId1060" xr:uid="{00000000-0004-0000-0000-000023040000}"/>
    <hyperlink ref="I359" r:id="rId1061" xr:uid="{00000000-0004-0000-0000-000024040000}"/>
    <hyperlink ref="C360" r:id="rId1062" xr:uid="{00000000-0004-0000-0000-000025040000}"/>
    <hyperlink ref="H360" r:id="rId1063" xr:uid="{00000000-0004-0000-0000-000026040000}"/>
    <hyperlink ref="I360" r:id="rId1064" xr:uid="{00000000-0004-0000-0000-000027040000}"/>
    <hyperlink ref="C361" r:id="rId1065" xr:uid="{00000000-0004-0000-0000-000028040000}"/>
    <hyperlink ref="H361" r:id="rId1066" xr:uid="{00000000-0004-0000-0000-000029040000}"/>
    <hyperlink ref="I361" r:id="rId1067" xr:uid="{00000000-0004-0000-0000-00002A040000}"/>
    <hyperlink ref="C362" r:id="rId1068" xr:uid="{00000000-0004-0000-0000-00002B040000}"/>
    <hyperlink ref="H362" r:id="rId1069" xr:uid="{00000000-0004-0000-0000-00002C040000}"/>
    <hyperlink ref="I362" r:id="rId1070" xr:uid="{00000000-0004-0000-0000-00002D040000}"/>
    <hyperlink ref="C363" r:id="rId1071" xr:uid="{00000000-0004-0000-0000-00002E040000}"/>
    <hyperlink ref="H363" r:id="rId1072" xr:uid="{00000000-0004-0000-0000-00002F040000}"/>
    <hyperlink ref="I363" r:id="rId1073" xr:uid="{00000000-0004-0000-0000-000030040000}"/>
    <hyperlink ref="C364" r:id="rId1074" xr:uid="{00000000-0004-0000-0000-000031040000}"/>
    <hyperlink ref="H364" r:id="rId1075" xr:uid="{00000000-0004-0000-0000-000032040000}"/>
    <hyperlink ref="I364" r:id="rId1076" xr:uid="{00000000-0004-0000-0000-000033040000}"/>
    <hyperlink ref="C365" r:id="rId1077" xr:uid="{00000000-0004-0000-0000-000034040000}"/>
    <hyperlink ref="H365" r:id="rId1078" xr:uid="{00000000-0004-0000-0000-000035040000}"/>
    <hyperlink ref="I365" r:id="rId1079" xr:uid="{00000000-0004-0000-0000-000036040000}"/>
    <hyperlink ref="C366" r:id="rId1080" xr:uid="{00000000-0004-0000-0000-000037040000}"/>
    <hyperlink ref="H366" r:id="rId1081" xr:uid="{00000000-0004-0000-0000-000038040000}"/>
    <hyperlink ref="I366" r:id="rId1082" xr:uid="{00000000-0004-0000-0000-000039040000}"/>
    <hyperlink ref="C367" r:id="rId1083" xr:uid="{00000000-0004-0000-0000-00003A040000}"/>
    <hyperlink ref="H367" r:id="rId1084" xr:uid="{00000000-0004-0000-0000-00003B040000}"/>
    <hyperlink ref="I367" r:id="rId1085" xr:uid="{00000000-0004-0000-0000-00003C040000}"/>
    <hyperlink ref="C368" r:id="rId1086" xr:uid="{00000000-0004-0000-0000-00003D040000}"/>
    <hyperlink ref="H368" r:id="rId1087" xr:uid="{00000000-0004-0000-0000-00003E040000}"/>
    <hyperlink ref="I368" r:id="rId1088" xr:uid="{00000000-0004-0000-0000-00003F040000}"/>
    <hyperlink ref="C369" r:id="rId1089" xr:uid="{00000000-0004-0000-0000-000040040000}"/>
    <hyperlink ref="H369" r:id="rId1090" xr:uid="{00000000-0004-0000-0000-000041040000}"/>
    <hyperlink ref="I369" r:id="rId1091" xr:uid="{00000000-0004-0000-0000-000042040000}"/>
    <hyperlink ref="C370" r:id="rId1092" xr:uid="{00000000-0004-0000-0000-000043040000}"/>
    <hyperlink ref="H370" r:id="rId1093" xr:uid="{00000000-0004-0000-0000-000044040000}"/>
    <hyperlink ref="I370" r:id="rId1094" xr:uid="{00000000-0004-0000-0000-000045040000}"/>
    <hyperlink ref="C371" r:id="rId1095" xr:uid="{00000000-0004-0000-0000-000046040000}"/>
    <hyperlink ref="H371" r:id="rId1096" xr:uid="{00000000-0004-0000-0000-000047040000}"/>
    <hyperlink ref="I371" r:id="rId1097" xr:uid="{00000000-0004-0000-0000-000048040000}"/>
    <hyperlink ref="C372" r:id="rId1098" xr:uid="{00000000-0004-0000-0000-000049040000}"/>
    <hyperlink ref="H372" r:id="rId1099" xr:uid="{00000000-0004-0000-0000-00004A040000}"/>
    <hyperlink ref="I372" r:id="rId1100" xr:uid="{00000000-0004-0000-0000-00004B040000}"/>
    <hyperlink ref="C373" r:id="rId1101" xr:uid="{00000000-0004-0000-0000-00004C040000}"/>
    <hyperlink ref="H373" r:id="rId1102" xr:uid="{00000000-0004-0000-0000-00004D040000}"/>
    <hyperlink ref="I373" r:id="rId1103" xr:uid="{00000000-0004-0000-0000-00004E040000}"/>
    <hyperlink ref="C374" r:id="rId1104" xr:uid="{00000000-0004-0000-0000-00004F040000}"/>
    <hyperlink ref="H374" r:id="rId1105" xr:uid="{00000000-0004-0000-0000-000050040000}"/>
    <hyperlink ref="I374" r:id="rId1106" xr:uid="{00000000-0004-0000-0000-000051040000}"/>
    <hyperlink ref="C375" r:id="rId1107" xr:uid="{00000000-0004-0000-0000-000052040000}"/>
    <hyperlink ref="H375" r:id="rId1108" xr:uid="{00000000-0004-0000-0000-000053040000}"/>
    <hyperlink ref="I375" r:id="rId1109" xr:uid="{00000000-0004-0000-0000-000054040000}"/>
    <hyperlink ref="C376" r:id="rId1110" xr:uid="{00000000-0004-0000-0000-000055040000}"/>
    <hyperlink ref="H376" r:id="rId1111" xr:uid="{00000000-0004-0000-0000-000056040000}"/>
    <hyperlink ref="I376" r:id="rId1112" xr:uid="{00000000-0004-0000-0000-000057040000}"/>
    <hyperlink ref="C377" r:id="rId1113" xr:uid="{00000000-0004-0000-0000-000058040000}"/>
    <hyperlink ref="H377" r:id="rId1114" xr:uid="{00000000-0004-0000-0000-000059040000}"/>
    <hyperlink ref="I377" r:id="rId1115" xr:uid="{00000000-0004-0000-0000-00005A040000}"/>
    <hyperlink ref="C378" r:id="rId1116" xr:uid="{00000000-0004-0000-0000-00005B040000}"/>
    <hyperlink ref="H378" r:id="rId1117" xr:uid="{00000000-0004-0000-0000-00005C040000}"/>
    <hyperlink ref="I378" r:id="rId1118" xr:uid="{00000000-0004-0000-0000-00005D040000}"/>
    <hyperlink ref="C379" r:id="rId1119" xr:uid="{00000000-0004-0000-0000-00005E040000}"/>
    <hyperlink ref="H379" r:id="rId1120" xr:uid="{00000000-0004-0000-0000-00005F040000}"/>
    <hyperlink ref="I379" r:id="rId1121" xr:uid="{00000000-0004-0000-0000-000060040000}"/>
    <hyperlink ref="C380" r:id="rId1122" xr:uid="{00000000-0004-0000-0000-000061040000}"/>
    <hyperlink ref="H380" r:id="rId1123" xr:uid="{00000000-0004-0000-0000-000062040000}"/>
    <hyperlink ref="I380" r:id="rId1124" xr:uid="{00000000-0004-0000-0000-000063040000}"/>
    <hyperlink ref="C381" r:id="rId1125" xr:uid="{00000000-0004-0000-0000-000064040000}"/>
    <hyperlink ref="H381" r:id="rId1126" xr:uid="{00000000-0004-0000-0000-000065040000}"/>
    <hyperlink ref="I381" r:id="rId1127" xr:uid="{00000000-0004-0000-0000-000066040000}"/>
    <hyperlink ref="C382" r:id="rId1128" xr:uid="{00000000-0004-0000-0000-000067040000}"/>
    <hyperlink ref="H382" r:id="rId1129" xr:uid="{00000000-0004-0000-0000-000068040000}"/>
    <hyperlink ref="I382" r:id="rId1130" xr:uid="{00000000-0004-0000-0000-000069040000}"/>
    <hyperlink ref="C383" r:id="rId1131" xr:uid="{00000000-0004-0000-0000-00006A040000}"/>
    <hyperlink ref="H383" r:id="rId1132" xr:uid="{00000000-0004-0000-0000-00006B040000}"/>
    <hyperlink ref="I383" r:id="rId1133" xr:uid="{00000000-0004-0000-0000-00006C040000}"/>
    <hyperlink ref="C384" r:id="rId1134" xr:uid="{00000000-0004-0000-0000-00006D040000}"/>
    <hyperlink ref="H384" r:id="rId1135" xr:uid="{00000000-0004-0000-0000-00006E040000}"/>
    <hyperlink ref="I384" r:id="rId1136" xr:uid="{00000000-0004-0000-0000-00006F040000}"/>
    <hyperlink ref="C385" r:id="rId1137" xr:uid="{00000000-0004-0000-0000-000070040000}"/>
    <hyperlink ref="H385" r:id="rId1138" xr:uid="{00000000-0004-0000-0000-000071040000}"/>
    <hyperlink ref="I385" r:id="rId1139" xr:uid="{00000000-0004-0000-0000-000072040000}"/>
    <hyperlink ref="C386" r:id="rId1140" xr:uid="{00000000-0004-0000-0000-000073040000}"/>
    <hyperlink ref="H386" r:id="rId1141" xr:uid="{00000000-0004-0000-0000-000074040000}"/>
    <hyperlink ref="I386" r:id="rId1142" xr:uid="{00000000-0004-0000-0000-000075040000}"/>
    <hyperlink ref="C387" r:id="rId1143" xr:uid="{00000000-0004-0000-0000-000076040000}"/>
    <hyperlink ref="H387" r:id="rId1144" xr:uid="{00000000-0004-0000-0000-000077040000}"/>
    <hyperlink ref="I387" r:id="rId1145" xr:uid="{00000000-0004-0000-0000-000078040000}"/>
    <hyperlink ref="C388" r:id="rId1146" xr:uid="{00000000-0004-0000-0000-000079040000}"/>
    <hyperlink ref="H388" r:id="rId1147" xr:uid="{00000000-0004-0000-0000-00007A040000}"/>
    <hyperlink ref="I388" r:id="rId1148" xr:uid="{00000000-0004-0000-0000-00007B040000}"/>
    <hyperlink ref="C389" r:id="rId1149" xr:uid="{00000000-0004-0000-0000-00007C040000}"/>
    <hyperlink ref="H389" r:id="rId1150" xr:uid="{00000000-0004-0000-0000-00007D040000}"/>
    <hyperlink ref="I389" r:id="rId1151" xr:uid="{00000000-0004-0000-0000-00007E040000}"/>
    <hyperlink ref="C390" r:id="rId1152" xr:uid="{00000000-0004-0000-0000-00007F040000}"/>
    <hyperlink ref="H390" r:id="rId1153" xr:uid="{00000000-0004-0000-0000-000080040000}"/>
    <hyperlink ref="I390" r:id="rId1154" xr:uid="{00000000-0004-0000-0000-000081040000}"/>
    <hyperlink ref="C391" r:id="rId1155" xr:uid="{00000000-0004-0000-0000-000082040000}"/>
    <hyperlink ref="H391" r:id="rId1156" xr:uid="{00000000-0004-0000-0000-000083040000}"/>
    <hyperlink ref="I391" r:id="rId1157" xr:uid="{00000000-0004-0000-0000-000084040000}"/>
    <hyperlink ref="C392" r:id="rId1158" xr:uid="{00000000-0004-0000-0000-000085040000}"/>
    <hyperlink ref="H392" r:id="rId1159" xr:uid="{00000000-0004-0000-0000-000086040000}"/>
    <hyperlink ref="I392" r:id="rId1160" xr:uid="{00000000-0004-0000-0000-000087040000}"/>
    <hyperlink ref="C393" r:id="rId1161" xr:uid="{00000000-0004-0000-0000-000088040000}"/>
    <hyperlink ref="H393" r:id="rId1162" xr:uid="{00000000-0004-0000-0000-000089040000}"/>
    <hyperlink ref="I393" r:id="rId1163" xr:uid="{00000000-0004-0000-0000-00008A040000}"/>
    <hyperlink ref="C394" r:id="rId1164" xr:uid="{00000000-0004-0000-0000-00008B040000}"/>
    <hyperlink ref="H394" r:id="rId1165" xr:uid="{00000000-0004-0000-0000-00008C040000}"/>
    <hyperlink ref="I394" r:id="rId1166" xr:uid="{00000000-0004-0000-0000-00008D040000}"/>
    <hyperlink ref="C395" r:id="rId1167" xr:uid="{00000000-0004-0000-0000-00008E040000}"/>
    <hyperlink ref="H395" r:id="rId1168" xr:uid="{00000000-0004-0000-0000-00008F040000}"/>
    <hyperlink ref="I395" r:id="rId1169" xr:uid="{00000000-0004-0000-0000-000090040000}"/>
    <hyperlink ref="C396" r:id="rId1170" xr:uid="{00000000-0004-0000-0000-000091040000}"/>
    <hyperlink ref="H396" r:id="rId1171" xr:uid="{00000000-0004-0000-0000-000092040000}"/>
    <hyperlink ref="I396" r:id="rId1172" xr:uid="{00000000-0004-0000-0000-000093040000}"/>
    <hyperlink ref="C397" r:id="rId1173" xr:uid="{00000000-0004-0000-0000-000094040000}"/>
    <hyperlink ref="H397" r:id="rId1174" xr:uid="{00000000-0004-0000-0000-000095040000}"/>
    <hyperlink ref="I397" r:id="rId1175" xr:uid="{00000000-0004-0000-0000-000096040000}"/>
    <hyperlink ref="C398" r:id="rId1176" xr:uid="{00000000-0004-0000-0000-000097040000}"/>
    <hyperlink ref="H398" r:id="rId1177" xr:uid="{00000000-0004-0000-0000-000098040000}"/>
    <hyperlink ref="I398" r:id="rId1178" xr:uid="{00000000-0004-0000-0000-000099040000}"/>
    <hyperlink ref="C399" r:id="rId1179" xr:uid="{00000000-0004-0000-0000-00009A040000}"/>
    <hyperlink ref="H399" r:id="rId1180" xr:uid="{00000000-0004-0000-0000-00009B040000}"/>
    <hyperlink ref="I399" r:id="rId1181" xr:uid="{00000000-0004-0000-0000-00009C040000}"/>
    <hyperlink ref="C400" r:id="rId1182" xr:uid="{00000000-0004-0000-0000-00009D040000}"/>
    <hyperlink ref="H400" r:id="rId1183" xr:uid="{00000000-0004-0000-0000-00009E040000}"/>
    <hyperlink ref="I400" r:id="rId1184" xr:uid="{00000000-0004-0000-0000-00009F040000}"/>
    <hyperlink ref="C401" r:id="rId1185" xr:uid="{00000000-0004-0000-0000-0000A0040000}"/>
    <hyperlink ref="H401" r:id="rId1186" xr:uid="{00000000-0004-0000-0000-0000A1040000}"/>
    <hyperlink ref="I401" r:id="rId1187" xr:uid="{00000000-0004-0000-0000-0000A2040000}"/>
    <hyperlink ref="C402" r:id="rId1188" xr:uid="{00000000-0004-0000-0000-0000A3040000}"/>
    <hyperlink ref="H402" r:id="rId1189" xr:uid="{00000000-0004-0000-0000-0000A4040000}"/>
    <hyperlink ref="I402" r:id="rId1190" xr:uid="{00000000-0004-0000-0000-0000A5040000}"/>
    <hyperlink ref="C403" r:id="rId1191" xr:uid="{00000000-0004-0000-0000-0000A6040000}"/>
    <hyperlink ref="H403" r:id="rId1192" xr:uid="{00000000-0004-0000-0000-0000A7040000}"/>
    <hyperlink ref="I403" r:id="rId1193" xr:uid="{00000000-0004-0000-0000-0000A8040000}"/>
    <hyperlink ref="C404" r:id="rId1194" xr:uid="{00000000-0004-0000-0000-0000A9040000}"/>
    <hyperlink ref="H404" r:id="rId1195" xr:uid="{00000000-0004-0000-0000-0000AA040000}"/>
    <hyperlink ref="I404" r:id="rId1196" xr:uid="{00000000-0004-0000-0000-0000AB040000}"/>
    <hyperlink ref="C405" r:id="rId1197" xr:uid="{00000000-0004-0000-0000-0000AC040000}"/>
    <hyperlink ref="H405" r:id="rId1198" xr:uid="{00000000-0004-0000-0000-0000AD040000}"/>
    <hyperlink ref="I405" r:id="rId1199" xr:uid="{00000000-0004-0000-0000-0000AE040000}"/>
    <hyperlink ref="C406" r:id="rId1200" xr:uid="{00000000-0004-0000-0000-0000AF040000}"/>
    <hyperlink ref="H406" r:id="rId1201" xr:uid="{00000000-0004-0000-0000-0000B0040000}"/>
    <hyperlink ref="I406" r:id="rId1202" xr:uid="{00000000-0004-0000-0000-0000B1040000}"/>
    <hyperlink ref="C407" r:id="rId1203" xr:uid="{00000000-0004-0000-0000-0000B2040000}"/>
    <hyperlink ref="H407" r:id="rId1204" xr:uid="{00000000-0004-0000-0000-0000B3040000}"/>
    <hyperlink ref="I407" r:id="rId1205" xr:uid="{00000000-0004-0000-0000-0000B4040000}"/>
    <hyperlink ref="C408" r:id="rId1206" xr:uid="{00000000-0004-0000-0000-0000B5040000}"/>
    <hyperlink ref="H408" r:id="rId1207" xr:uid="{00000000-0004-0000-0000-0000B6040000}"/>
    <hyperlink ref="I408" r:id="rId1208" xr:uid="{00000000-0004-0000-0000-0000B7040000}"/>
    <hyperlink ref="C409" r:id="rId1209" xr:uid="{00000000-0004-0000-0000-0000B8040000}"/>
    <hyperlink ref="H409" r:id="rId1210" xr:uid="{00000000-0004-0000-0000-0000B9040000}"/>
    <hyperlink ref="I409" r:id="rId1211" xr:uid="{00000000-0004-0000-0000-0000BA040000}"/>
    <hyperlink ref="C410" r:id="rId1212" xr:uid="{00000000-0004-0000-0000-0000BB040000}"/>
    <hyperlink ref="H410" r:id="rId1213" xr:uid="{00000000-0004-0000-0000-0000BC040000}"/>
    <hyperlink ref="I410" r:id="rId1214" xr:uid="{00000000-0004-0000-0000-0000BD040000}"/>
    <hyperlink ref="C411" r:id="rId1215" xr:uid="{00000000-0004-0000-0000-0000BE040000}"/>
    <hyperlink ref="H411" r:id="rId1216" xr:uid="{00000000-0004-0000-0000-0000BF040000}"/>
    <hyperlink ref="I411" r:id="rId1217" xr:uid="{00000000-0004-0000-0000-0000C0040000}"/>
    <hyperlink ref="C412" r:id="rId1218" xr:uid="{00000000-0004-0000-0000-0000C1040000}"/>
    <hyperlink ref="H412" r:id="rId1219" xr:uid="{00000000-0004-0000-0000-0000C2040000}"/>
    <hyperlink ref="I412" r:id="rId1220" xr:uid="{00000000-0004-0000-0000-0000C3040000}"/>
    <hyperlink ref="C413" r:id="rId1221" xr:uid="{00000000-0004-0000-0000-0000C4040000}"/>
    <hyperlink ref="H413" r:id="rId1222" xr:uid="{00000000-0004-0000-0000-0000C5040000}"/>
    <hyperlink ref="I413" r:id="rId1223" xr:uid="{00000000-0004-0000-0000-0000C6040000}"/>
    <hyperlink ref="C414" r:id="rId1224" xr:uid="{00000000-0004-0000-0000-0000C7040000}"/>
    <hyperlink ref="H414" r:id="rId1225" xr:uid="{00000000-0004-0000-0000-0000C8040000}"/>
    <hyperlink ref="I414" r:id="rId1226" xr:uid="{00000000-0004-0000-0000-0000C9040000}"/>
    <hyperlink ref="C415" r:id="rId1227" xr:uid="{00000000-0004-0000-0000-0000CA040000}"/>
    <hyperlink ref="H415" r:id="rId1228" xr:uid="{00000000-0004-0000-0000-0000CB040000}"/>
    <hyperlink ref="I415" r:id="rId1229" xr:uid="{00000000-0004-0000-0000-0000CC040000}"/>
    <hyperlink ref="C416" r:id="rId1230" xr:uid="{00000000-0004-0000-0000-0000CD040000}"/>
    <hyperlink ref="H416" r:id="rId1231" xr:uid="{00000000-0004-0000-0000-0000CE040000}"/>
    <hyperlink ref="I416" r:id="rId1232" xr:uid="{00000000-0004-0000-0000-0000CF040000}"/>
    <hyperlink ref="C417" r:id="rId1233" xr:uid="{00000000-0004-0000-0000-0000D0040000}"/>
    <hyperlink ref="H417" r:id="rId1234" xr:uid="{00000000-0004-0000-0000-0000D1040000}"/>
    <hyperlink ref="I417" r:id="rId1235" xr:uid="{00000000-0004-0000-0000-0000D2040000}"/>
    <hyperlink ref="C418" r:id="rId1236" xr:uid="{00000000-0004-0000-0000-0000D3040000}"/>
    <hyperlink ref="H418" r:id="rId1237" xr:uid="{00000000-0004-0000-0000-0000D4040000}"/>
    <hyperlink ref="I418" r:id="rId1238" xr:uid="{00000000-0004-0000-0000-0000D5040000}"/>
    <hyperlink ref="C419" r:id="rId1239" xr:uid="{00000000-0004-0000-0000-0000D6040000}"/>
    <hyperlink ref="H419" r:id="rId1240" xr:uid="{00000000-0004-0000-0000-0000D7040000}"/>
    <hyperlink ref="I419" r:id="rId1241" xr:uid="{00000000-0004-0000-0000-0000D8040000}"/>
    <hyperlink ref="C420" r:id="rId1242" xr:uid="{00000000-0004-0000-0000-0000D9040000}"/>
    <hyperlink ref="H420" r:id="rId1243" xr:uid="{00000000-0004-0000-0000-0000DA040000}"/>
    <hyperlink ref="I420" r:id="rId1244" xr:uid="{00000000-0004-0000-0000-0000DB040000}"/>
    <hyperlink ref="C421" r:id="rId1245" xr:uid="{00000000-0004-0000-0000-0000DC040000}"/>
    <hyperlink ref="H421" r:id="rId1246" xr:uid="{00000000-0004-0000-0000-0000DD040000}"/>
    <hyperlink ref="I421" r:id="rId1247" xr:uid="{00000000-0004-0000-0000-0000DE040000}"/>
    <hyperlink ref="C422" r:id="rId1248" xr:uid="{00000000-0004-0000-0000-0000DF040000}"/>
    <hyperlink ref="H422" r:id="rId1249" xr:uid="{00000000-0004-0000-0000-0000E0040000}"/>
    <hyperlink ref="I422" r:id="rId1250" xr:uid="{00000000-0004-0000-0000-0000E1040000}"/>
    <hyperlink ref="C423" r:id="rId1251" xr:uid="{00000000-0004-0000-0000-0000E2040000}"/>
    <hyperlink ref="H423" r:id="rId1252" xr:uid="{00000000-0004-0000-0000-0000E3040000}"/>
    <hyperlink ref="I423" r:id="rId1253" xr:uid="{00000000-0004-0000-0000-0000E4040000}"/>
    <hyperlink ref="C424" r:id="rId1254" xr:uid="{00000000-0004-0000-0000-0000E5040000}"/>
    <hyperlink ref="H424" r:id="rId1255" xr:uid="{00000000-0004-0000-0000-0000E6040000}"/>
    <hyperlink ref="I424" r:id="rId1256" xr:uid="{00000000-0004-0000-0000-0000E7040000}"/>
    <hyperlink ref="C425" r:id="rId1257" xr:uid="{00000000-0004-0000-0000-0000E8040000}"/>
    <hyperlink ref="H425" r:id="rId1258" xr:uid="{00000000-0004-0000-0000-0000E9040000}"/>
    <hyperlink ref="I425" r:id="rId1259" xr:uid="{00000000-0004-0000-0000-0000EA040000}"/>
    <hyperlink ref="C426" r:id="rId1260" xr:uid="{00000000-0004-0000-0000-0000EB040000}"/>
    <hyperlink ref="H426" r:id="rId1261" xr:uid="{00000000-0004-0000-0000-0000EC040000}"/>
    <hyperlink ref="I426" r:id="rId1262" xr:uid="{00000000-0004-0000-0000-0000ED040000}"/>
    <hyperlink ref="C427" r:id="rId1263" xr:uid="{00000000-0004-0000-0000-0000EE040000}"/>
    <hyperlink ref="H427" r:id="rId1264" xr:uid="{00000000-0004-0000-0000-0000EF040000}"/>
    <hyperlink ref="I427" r:id="rId1265" xr:uid="{00000000-0004-0000-0000-0000F0040000}"/>
    <hyperlink ref="C428" r:id="rId1266" xr:uid="{00000000-0004-0000-0000-0000F1040000}"/>
    <hyperlink ref="H428" r:id="rId1267" xr:uid="{00000000-0004-0000-0000-0000F2040000}"/>
    <hyperlink ref="I428" r:id="rId1268" xr:uid="{00000000-0004-0000-0000-0000F3040000}"/>
    <hyperlink ref="C429" r:id="rId1269" xr:uid="{00000000-0004-0000-0000-0000F4040000}"/>
    <hyperlink ref="H429" r:id="rId1270" xr:uid="{00000000-0004-0000-0000-0000F5040000}"/>
    <hyperlink ref="I429" r:id="rId1271" xr:uid="{00000000-0004-0000-0000-0000F6040000}"/>
    <hyperlink ref="C430" r:id="rId1272" xr:uid="{00000000-0004-0000-0000-0000F7040000}"/>
    <hyperlink ref="H430" r:id="rId1273" xr:uid="{00000000-0004-0000-0000-0000F8040000}"/>
    <hyperlink ref="I430" r:id="rId1274" xr:uid="{00000000-0004-0000-0000-0000F9040000}"/>
    <hyperlink ref="C431" r:id="rId1275" xr:uid="{00000000-0004-0000-0000-0000FA040000}"/>
    <hyperlink ref="H431" r:id="rId1276" xr:uid="{00000000-0004-0000-0000-0000FB040000}"/>
    <hyperlink ref="I431" r:id="rId1277" xr:uid="{00000000-0004-0000-0000-0000FC040000}"/>
    <hyperlink ref="C432" r:id="rId1278" xr:uid="{00000000-0004-0000-0000-0000FD040000}"/>
    <hyperlink ref="H432" r:id="rId1279" xr:uid="{00000000-0004-0000-0000-0000FE040000}"/>
    <hyperlink ref="I432" r:id="rId1280" xr:uid="{00000000-0004-0000-0000-0000FF040000}"/>
    <hyperlink ref="C433" r:id="rId1281" xr:uid="{00000000-0004-0000-0000-000000050000}"/>
    <hyperlink ref="H433" r:id="rId1282" xr:uid="{00000000-0004-0000-0000-000001050000}"/>
    <hyperlink ref="I433" r:id="rId1283" xr:uid="{00000000-0004-0000-0000-000002050000}"/>
    <hyperlink ref="C434" r:id="rId1284" xr:uid="{00000000-0004-0000-0000-000003050000}"/>
    <hyperlink ref="H434" r:id="rId1285" xr:uid="{00000000-0004-0000-0000-000004050000}"/>
    <hyperlink ref="I434" r:id="rId1286" xr:uid="{00000000-0004-0000-0000-000005050000}"/>
    <hyperlink ref="C435" r:id="rId1287" xr:uid="{00000000-0004-0000-0000-000006050000}"/>
    <hyperlink ref="H435" r:id="rId1288" xr:uid="{00000000-0004-0000-0000-000007050000}"/>
    <hyperlink ref="I435" r:id="rId1289" xr:uid="{00000000-0004-0000-0000-000008050000}"/>
    <hyperlink ref="C436" r:id="rId1290" xr:uid="{00000000-0004-0000-0000-000009050000}"/>
    <hyperlink ref="H436" r:id="rId1291" xr:uid="{00000000-0004-0000-0000-00000A050000}"/>
    <hyperlink ref="I436" r:id="rId1292" xr:uid="{00000000-0004-0000-0000-00000B050000}"/>
    <hyperlink ref="C437" r:id="rId1293" xr:uid="{00000000-0004-0000-0000-00000C050000}"/>
    <hyperlink ref="H437" r:id="rId1294" xr:uid="{00000000-0004-0000-0000-00000D050000}"/>
    <hyperlink ref="I437" r:id="rId1295" xr:uid="{00000000-0004-0000-0000-00000E050000}"/>
    <hyperlink ref="C438" r:id="rId1296" xr:uid="{00000000-0004-0000-0000-00000F050000}"/>
    <hyperlink ref="H438" r:id="rId1297" xr:uid="{00000000-0004-0000-0000-000010050000}"/>
    <hyperlink ref="I438" r:id="rId1298" xr:uid="{00000000-0004-0000-0000-000011050000}"/>
    <hyperlink ref="C439" r:id="rId1299" xr:uid="{00000000-0004-0000-0000-000012050000}"/>
    <hyperlink ref="H439" r:id="rId1300" xr:uid="{00000000-0004-0000-0000-000013050000}"/>
    <hyperlink ref="I439" r:id="rId1301" xr:uid="{00000000-0004-0000-0000-000014050000}"/>
    <hyperlink ref="C440" r:id="rId1302" xr:uid="{00000000-0004-0000-0000-000015050000}"/>
    <hyperlink ref="H440" r:id="rId1303" xr:uid="{00000000-0004-0000-0000-000016050000}"/>
    <hyperlink ref="I440" r:id="rId1304" xr:uid="{00000000-0004-0000-0000-000017050000}"/>
    <hyperlink ref="C441" r:id="rId1305" xr:uid="{00000000-0004-0000-0000-000018050000}"/>
    <hyperlink ref="H441" r:id="rId1306" xr:uid="{00000000-0004-0000-0000-000019050000}"/>
    <hyperlink ref="I441" r:id="rId1307" xr:uid="{00000000-0004-0000-0000-00001A050000}"/>
    <hyperlink ref="C442" r:id="rId1308" xr:uid="{00000000-0004-0000-0000-00001B050000}"/>
    <hyperlink ref="H442" r:id="rId1309" xr:uid="{00000000-0004-0000-0000-00001C050000}"/>
    <hyperlink ref="I442" r:id="rId1310" xr:uid="{00000000-0004-0000-0000-00001D050000}"/>
    <hyperlink ref="C443" r:id="rId1311" xr:uid="{00000000-0004-0000-0000-00001E050000}"/>
    <hyperlink ref="H443" r:id="rId1312" xr:uid="{00000000-0004-0000-0000-00001F050000}"/>
    <hyperlink ref="I443" r:id="rId1313" xr:uid="{00000000-0004-0000-0000-000020050000}"/>
    <hyperlink ref="C444" r:id="rId1314" xr:uid="{00000000-0004-0000-0000-000021050000}"/>
    <hyperlink ref="H444" r:id="rId1315" xr:uid="{00000000-0004-0000-0000-000022050000}"/>
    <hyperlink ref="I444" r:id="rId1316" xr:uid="{00000000-0004-0000-0000-000023050000}"/>
    <hyperlink ref="C445" r:id="rId1317" xr:uid="{00000000-0004-0000-0000-000024050000}"/>
    <hyperlink ref="H445" r:id="rId1318" xr:uid="{00000000-0004-0000-0000-000025050000}"/>
    <hyperlink ref="I445" r:id="rId1319" xr:uid="{00000000-0004-0000-0000-000026050000}"/>
    <hyperlink ref="C446" r:id="rId1320" xr:uid="{00000000-0004-0000-0000-000027050000}"/>
    <hyperlink ref="H446" r:id="rId1321" xr:uid="{00000000-0004-0000-0000-000028050000}"/>
    <hyperlink ref="I446" r:id="rId1322" xr:uid="{00000000-0004-0000-0000-000029050000}"/>
    <hyperlink ref="C447" r:id="rId1323" xr:uid="{00000000-0004-0000-0000-00002A050000}"/>
    <hyperlink ref="H447" r:id="rId1324" xr:uid="{00000000-0004-0000-0000-00002B050000}"/>
    <hyperlink ref="I447" r:id="rId1325" xr:uid="{00000000-0004-0000-0000-00002C050000}"/>
    <hyperlink ref="C448" r:id="rId1326" xr:uid="{00000000-0004-0000-0000-00002D050000}"/>
    <hyperlink ref="H448" r:id="rId1327" xr:uid="{00000000-0004-0000-0000-00002E050000}"/>
    <hyperlink ref="I448" r:id="rId1328" xr:uid="{00000000-0004-0000-0000-00002F050000}"/>
    <hyperlink ref="C449" r:id="rId1329" xr:uid="{00000000-0004-0000-0000-000030050000}"/>
    <hyperlink ref="H449" r:id="rId1330" xr:uid="{00000000-0004-0000-0000-000031050000}"/>
    <hyperlink ref="I449" r:id="rId1331" xr:uid="{00000000-0004-0000-0000-000032050000}"/>
    <hyperlink ref="C450" r:id="rId1332" xr:uid="{00000000-0004-0000-0000-000033050000}"/>
    <hyperlink ref="H450" r:id="rId1333" xr:uid="{00000000-0004-0000-0000-000034050000}"/>
    <hyperlink ref="I450" r:id="rId1334" xr:uid="{00000000-0004-0000-0000-000035050000}"/>
    <hyperlink ref="C451" r:id="rId1335" xr:uid="{00000000-0004-0000-0000-000036050000}"/>
    <hyperlink ref="H451" r:id="rId1336" xr:uid="{00000000-0004-0000-0000-000037050000}"/>
    <hyperlink ref="I451" r:id="rId1337" xr:uid="{00000000-0004-0000-0000-000038050000}"/>
    <hyperlink ref="C452" r:id="rId1338" xr:uid="{00000000-0004-0000-0000-000039050000}"/>
    <hyperlink ref="H452" r:id="rId1339" xr:uid="{00000000-0004-0000-0000-00003A050000}"/>
    <hyperlink ref="I452" r:id="rId1340" xr:uid="{00000000-0004-0000-0000-00003B050000}"/>
    <hyperlink ref="C453" r:id="rId1341" xr:uid="{00000000-0004-0000-0000-00003C050000}"/>
    <hyperlink ref="H453" r:id="rId1342" xr:uid="{00000000-0004-0000-0000-00003D050000}"/>
    <hyperlink ref="I453" r:id="rId1343" xr:uid="{00000000-0004-0000-0000-00003E050000}"/>
    <hyperlink ref="C454" r:id="rId1344" xr:uid="{00000000-0004-0000-0000-00003F050000}"/>
    <hyperlink ref="H454" r:id="rId1345" xr:uid="{00000000-0004-0000-0000-000040050000}"/>
    <hyperlink ref="I454" r:id="rId1346" xr:uid="{00000000-0004-0000-0000-000041050000}"/>
    <hyperlink ref="C455" r:id="rId1347" xr:uid="{00000000-0004-0000-0000-000042050000}"/>
    <hyperlink ref="H455" r:id="rId1348" xr:uid="{00000000-0004-0000-0000-000043050000}"/>
    <hyperlink ref="I455" r:id="rId1349" xr:uid="{00000000-0004-0000-0000-000044050000}"/>
    <hyperlink ref="C456" r:id="rId1350" xr:uid="{00000000-0004-0000-0000-000045050000}"/>
    <hyperlink ref="H456" r:id="rId1351" xr:uid="{00000000-0004-0000-0000-000046050000}"/>
    <hyperlink ref="I456" r:id="rId1352" xr:uid="{00000000-0004-0000-0000-000047050000}"/>
    <hyperlink ref="C457" r:id="rId1353" xr:uid="{00000000-0004-0000-0000-000048050000}"/>
    <hyperlink ref="H457" r:id="rId1354" xr:uid="{00000000-0004-0000-0000-000049050000}"/>
    <hyperlink ref="I457" r:id="rId1355" xr:uid="{00000000-0004-0000-0000-00004A050000}"/>
    <hyperlink ref="C458" r:id="rId1356" xr:uid="{00000000-0004-0000-0000-00004B050000}"/>
    <hyperlink ref="H458" r:id="rId1357" xr:uid="{00000000-0004-0000-0000-00004C050000}"/>
    <hyperlink ref="I458" r:id="rId1358" xr:uid="{00000000-0004-0000-0000-00004D050000}"/>
    <hyperlink ref="C459" r:id="rId1359" xr:uid="{00000000-0004-0000-0000-00004E050000}"/>
    <hyperlink ref="H459" r:id="rId1360" xr:uid="{00000000-0004-0000-0000-00004F050000}"/>
    <hyperlink ref="I459" r:id="rId1361" xr:uid="{00000000-0004-0000-0000-000050050000}"/>
    <hyperlink ref="C460" r:id="rId1362" xr:uid="{00000000-0004-0000-0000-000051050000}"/>
    <hyperlink ref="H460" r:id="rId1363" xr:uid="{00000000-0004-0000-0000-000052050000}"/>
    <hyperlink ref="I460" r:id="rId1364" xr:uid="{00000000-0004-0000-0000-000053050000}"/>
    <hyperlink ref="C461" r:id="rId1365" xr:uid="{00000000-0004-0000-0000-000054050000}"/>
    <hyperlink ref="H461" r:id="rId1366" xr:uid="{00000000-0004-0000-0000-000055050000}"/>
    <hyperlink ref="I461" r:id="rId1367" xr:uid="{00000000-0004-0000-0000-000056050000}"/>
    <hyperlink ref="C462" r:id="rId1368" xr:uid="{00000000-0004-0000-0000-000057050000}"/>
    <hyperlink ref="H462" r:id="rId1369" xr:uid="{00000000-0004-0000-0000-000058050000}"/>
    <hyperlink ref="I462" r:id="rId1370" xr:uid="{00000000-0004-0000-0000-000059050000}"/>
    <hyperlink ref="C463" r:id="rId1371" xr:uid="{00000000-0004-0000-0000-00005A050000}"/>
    <hyperlink ref="H463" r:id="rId1372" xr:uid="{00000000-0004-0000-0000-00005B050000}"/>
    <hyperlink ref="I463" r:id="rId1373" xr:uid="{00000000-0004-0000-0000-00005C050000}"/>
    <hyperlink ref="C464" r:id="rId1374" xr:uid="{00000000-0004-0000-0000-00005D050000}"/>
    <hyperlink ref="H464" r:id="rId1375" xr:uid="{00000000-0004-0000-0000-00005E050000}"/>
    <hyperlink ref="I464" r:id="rId1376" xr:uid="{00000000-0004-0000-0000-00005F050000}"/>
    <hyperlink ref="C465" r:id="rId1377" xr:uid="{00000000-0004-0000-0000-000060050000}"/>
    <hyperlink ref="H465" r:id="rId1378" xr:uid="{00000000-0004-0000-0000-000061050000}"/>
    <hyperlink ref="I465" r:id="rId1379" xr:uid="{00000000-0004-0000-0000-000062050000}"/>
    <hyperlink ref="C466" r:id="rId1380" xr:uid="{00000000-0004-0000-0000-000063050000}"/>
    <hyperlink ref="H466" r:id="rId1381" xr:uid="{00000000-0004-0000-0000-000064050000}"/>
    <hyperlink ref="I466" r:id="rId1382" xr:uid="{00000000-0004-0000-0000-000065050000}"/>
    <hyperlink ref="C467" r:id="rId1383" xr:uid="{00000000-0004-0000-0000-000066050000}"/>
    <hyperlink ref="H467" r:id="rId1384" xr:uid="{00000000-0004-0000-0000-000067050000}"/>
    <hyperlink ref="I467" r:id="rId1385" xr:uid="{00000000-0004-0000-0000-000068050000}"/>
    <hyperlink ref="C468" r:id="rId1386" xr:uid="{00000000-0004-0000-0000-000069050000}"/>
    <hyperlink ref="H468" r:id="rId1387" xr:uid="{00000000-0004-0000-0000-00006A050000}"/>
    <hyperlink ref="I468" r:id="rId1388" xr:uid="{00000000-0004-0000-0000-00006B050000}"/>
    <hyperlink ref="C469" r:id="rId1389" xr:uid="{00000000-0004-0000-0000-00006C050000}"/>
    <hyperlink ref="H469" r:id="rId1390" xr:uid="{00000000-0004-0000-0000-00006D050000}"/>
    <hyperlink ref="I469" r:id="rId1391" xr:uid="{00000000-0004-0000-0000-00006E050000}"/>
    <hyperlink ref="C470" r:id="rId1392" xr:uid="{00000000-0004-0000-0000-00006F050000}"/>
    <hyperlink ref="H470" r:id="rId1393" xr:uid="{00000000-0004-0000-0000-000070050000}"/>
    <hyperlink ref="I470" r:id="rId1394" xr:uid="{00000000-0004-0000-0000-000071050000}"/>
    <hyperlink ref="C471" r:id="rId1395" xr:uid="{00000000-0004-0000-0000-000072050000}"/>
    <hyperlink ref="H471" r:id="rId1396" xr:uid="{00000000-0004-0000-0000-000073050000}"/>
    <hyperlink ref="I471" r:id="rId1397" xr:uid="{00000000-0004-0000-0000-000074050000}"/>
    <hyperlink ref="C472" r:id="rId1398" xr:uid="{00000000-0004-0000-0000-000075050000}"/>
    <hyperlink ref="H472" r:id="rId1399" xr:uid="{00000000-0004-0000-0000-000076050000}"/>
    <hyperlink ref="I472" r:id="rId1400" xr:uid="{00000000-0004-0000-0000-000077050000}"/>
    <hyperlink ref="C473" r:id="rId1401" xr:uid="{00000000-0004-0000-0000-000078050000}"/>
    <hyperlink ref="H473" r:id="rId1402" xr:uid="{00000000-0004-0000-0000-000079050000}"/>
    <hyperlink ref="I473" r:id="rId1403" xr:uid="{00000000-0004-0000-0000-00007A050000}"/>
    <hyperlink ref="C474" r:id="rId1404" xr:uid="{00000000-0004-0000-0000-00007B050000}"/>
    <hyperlink ref="H474" r:id="rId1405" xr:uid="{00000000-0004-0000-0000-00007C050000}"/>
    <hyperlink ref="I474" r:id="rId1406" xr:uid="{00000000-0004-0000-0000-00007D050000}"/>
    <hyperlink ref="C475" r:id="rId1407" xr:uid="{00000000-0004-0000-0000-00007E050000}"/>
    <hyperlink ref="H475" r:id="rId1408" xr:uid="{00000000-0004-0000-0000-00007F050000}"/>
    <hyperlink ref="I475" r:id="rId1409" xr:uid="{00000000-0004-0000-0000-000080050000}"/>
    <hyperlink ref="C476" r:id="rId1410" xr:uid="{00000000-0004-0000-0000-000081050000}"/>
    <hyperlink ref="H476" r:id="rId1411" xr:uid="{00000000-0004-0000-0000-000082050000}"/>
    <hyperlink ref="I476" r:id="rId1412" xr:uid="{00000000-0004-0000-0000-000083050000}"/>
    <hyperlink ref="C477" r:id="rId1413" xr:uid="{00000000-0004-0000-0000-000084050000}"/>
    <hyperlink ref="H477" r:id="rId1414" xr:uid="{00000000-0004-0000-0000-000085050000}"/>
    <hyperlink ref="I477" r:id="rId1415" xr:uid="{00000000-0004-0000-0000-000086050000}"/>
    <hyperlink ref="C478" r:id="rId1416" xr:uid="{00000000-0004-0000-0000-000087050000}"/>
    <hyperlink ref="H478" r:id="rId1417" xr:uid="{00000000-0004-0000-0000-000088050000}"/>
    <hyperlink ref="I478" r:id="rId1418" xr:uid="{00000000-0004-0000-0000-000089050000}"/>
    <hyperlink ref="C479" r:id="rId1419" xr:uid="{00000000-0004-0000-0000-00008A050000}"/>
    <hyperlink ref="H479" r:id="rId1420" xr:uid="{00000000-0004-0000-0000-00008B050000}"/>
    <hyperlink ref="I479" r:id="rId1421" xr:uid="{00000000-0004-0000-0000-00008C050000}"/>
    <hyperlink ref="C480" r:id="rId1422" xr:uid="{00000000-0004-0000-0000-00008D050000}"/>
    <hyperlink ref="H480" r:id="rId1423" xr:uid="{00000000-0004-0000-0000-00008E050000}"/>
    <hyperlink ref="I480" r:id="rId1424" xr:uid="{00000000-0004-0000-0000-00008F050000}"/>
    <hyperlink ref="C481" r:id="rId1425" xr:uid="{00000000-0004-0000-0000-000090050000}"/>
    <hyperlink ref="H481" r:id="rId1426" xr:uid="{00000000-0004-0000-0000-000091050000}"/>
    <hyperlink ref="I481" r:id="rId1427" xr:uid="{00000000-0004-0000-0000-000092050000}"/>
    <hyperlink ref="C482" r:id="rId1428" xr:uid="{00000000-0004-0000-0000-000093050000}"/>
    <hyperlink ref="H482" r:id="rId1429" xr:uid="{00000000-0004-0000-0000-000094050000}"/>
    <hyperlink ref="I482" r:id="rId1430" xr:uid="{00000000-0004-0000-0000-000095050000}"/>
    <hyperlink ref="C483" r:id="rId1431" xr:uid="{00000000-0004-0000-0000-000096050000}"/>
    <hyperlink ref="H483" r:id="rId1432" xr:uid="{00000000-0004-0000-0000-000097050000}"/>
    <hyperlink ref="I483" r:id="rId1433" xr:uid="{00000000-0004-0000-0000-000098050000}"/>
    <hyperlink ref="C484" r:id="rId1434" xr:uid="{00000000-0004-0000-0000-000099050000}"/>
    <hyperlink ref="H484" r:id="rId1435" xr:uid="{00000000-0004-0000-0000-00009A050000}"/>
    <hyperlink ref="I484" r:id="rId1436" xr:uid="{00000000-0004-0000-0000-00009B050000}"/>
    <hyperlink ref="C485" r:id="rId1437" xr:uid="{00000000-0004-0000-0000-00009C050000}"/>
    <hyperlink ref="H485" r:id="rId1438" xr:uid="{00000000-0004-0000-0000-00009D050000}"/>
    <hyperlink ref="I485" r:id="rId1439" xr:uid="{00000000-0004-0000-0000-00009E050000}"/>
    <hyperlink ref="C486" r:id="rId1440" xr:uid="{00000000-0004-0000-0000-00009F050000}"/>
    <hyperlink ref="H486" r:id="rId1441" xr:uid="{00000000-0004-0000-0000-0000A0050000}"/>
    <hyperlink ref="I486" r:id="rId1442" xr:uid="{00000000-0004-0000-0000-0000A1050000}"/>
    <hyperlink ref="C487" r:id="rId1443" xr:uid="{00000000-0004-0000-0000-0000A2050000}"/>
    <hyperlink ref="H487" r:id="rId1444" xr:uid="{00000000-0004-0000-0000-0000A3050000}"/>
    <hyperlink ref="I487" r:id="rId1445" xr:uid="{00000000-0004-0000-0000-0000A4050000}"/>
    <hyperlink ref="C488" r:id="rId1446" xr:uid="{00000000-0004-0000-0000-0000A5050000}"/>
    <hyperlink ref="H488" r:id="rId1447" xr:uid="{00000000-0004-0000-0000-0000A6050000}"/>
    <hyperlink ref="I488" r:id="rId1448" xr:uid="{00000000-0004-0000-0000-0000A7050000}"/>
    <hyperlink ref="C489" r:id="rId1449" xr:uid="{00000000-0004-0000-0000-0000A8050000}"/>
    <hyperlink ref="H489" r:id="rId1450" xr:uid="{00000000-0004-0000-0000-0000A9050000}"/>
    <hyperlink ref="I489" r:id="rId1451" xr:uid="{00000000-0004-0000-0000-0000AA050000}"/>
    <hyperlink ref="C490" r:id="rId1452" xr:uid="{00000000-0004-0000-0000-0000AB050000}"/>
    <hyperlink ref="H490" r:id="rId1453" xr:uid="{00000000-0004-0000-0000-0000AC050000}"/>
    <hyperlink ref="I490" r:id="rId1454" xr:uid="{00000000-0004-0000-0000-0000AD050000}"/>
    <hyperlink ref="C491" r:id="rId1455" xr:uid="{00000000-0004-0000-0000-0000AE050000}"/>
    <hyperlink ref="H491" r:id="rId1456" xr:uid="{00000000-0004-0000-0000-0000AF050000}"/>
    <hyperlink ref="I491" r:id="rId1457" xr:uid="{00000000-0004-0000-0000-0000B0050000}"/>
    <hyperlink ref="C492" r:id="rId1458" xr:uid="{00000000-0004-0000-0000-0000B1050000}"/>
    <hyperlink ref="H492" r:id="rId1459" xr:uid="{00000000-0004-0000-0000-0000B2050000}"/>
    <hyperlink ref="I492" r:id="rId1460" xr:uid="{00000000-0004-0000-0000-0000B3050000}"/>
    <hyperlink ref="C493" r:id="rId1461" xr:uid="{00000000-0004-0000-0000-0000B4050000}"/>
    <hyperlink ref="H493" r:id="rId1462" xr:uid="{00000000-0004-0000-0000-0000B5050000}"/>
    <hyperlink ref="I493" r:id="rId1463" xr:uid="{00000000-0004-0000-0000-0000B6050000}"/>
    <hyperlink ref="C494" r:id="rId1464" xr:uid="{00000000-0004-0000-0000-0000B7050000}"/>
    <hyperlink ref="H494" r:id="rId1465" xr:uid="{00000000-0004-0000-0000-0000B8050000}"/>
    <hyperlink ref="I494" r:id="rId1466" xr:uid="{00000000-0004-0000-0000-0000B9050000}"/>
    <hyperlink ref="C495" r:id="rId1467" xr:uid="{00000000-0004-0000-0000-0000BA050000}"/>
    <hyperlink ref="H495" r:id="rId1468" xr:uid="{00000000-0004-0000-0000-0000BB050000}"/>
    <hyperlink ref="I495" r:id="rId1469" xr:uid="{00000000-0004-0000-0000-0000BC050000}"/>
    <hyperlink ref="C496" r:id="rId1470" xr:uid="{00000000-0004-0000-0000-0000BD050000}"/>
    <hyperlink ref="H496" r:id="rId1471" xr:uid="{00000000-0004-0000-0000-0000BE050000}"/>
    <hyperlink ref="I496" r:id="rId1472" xr:uid="{00000000-0004-0000-0000-0000BF050000}"/>
    <hyperlink ref="C497" r:id="rId1473" xr:uid="{00000000-0004-0000-0000-0000C0050000}"/>
    <hyperlink ref="H497" r:id="rId1474" xr:uid="{00000000-0004-0000-0000-0000C1050000}"/>
    <hyperlink ref="I497" r:id="rId1475" xr:uid="{00000000-0004-0000-0000-0000C2050000}"/>
    <hyperlink ref="C498" r:id="rId1476" xr:uid="{00000000-0004-0000-0000-0000C3050000}"/>
    <hyperlink ref="H498" r:id="rId1477" xr:uid="{00000000-0004-0000-0000-0000C4050000}"/>
    <hyperlink ref="I498" r:id="rId1478" xr:uid="{00000000-0004-0000-0000-0000C5050000}"/>
    <hyperlink ref="C499" r:id="rId1479" xr:uid="{00000000-0004-0000-0000-0000C6050000}"/>
    <hyperlink ref="H499" r:id="rId1480" xr:uid="{00000000-0004-0000-0000-0000C7050000}"/>
    <hyperlink ref="I499" r:id="rId1481" xr:uid="{00000000-0004-0000-0000-0000C8050000}"/>
    <hyperlink ref="C500" r:id="rId1482" xr:uid="{00000000-0004-0000-0000-0000C9050000}"/>
    <hyperlink ref="H500" r:id="rId1483" xr:uid="{00000000-0004-0000-0000-0000CA050000}"/>
    <hyperlink ref="I500" r:id="rId1484" xr:uid="{00000000-0004-0000-0000-0000CB050000}"/>
    <hyperlink ref="C501" r:id="rId1485" xr:uid="{00000000-0004-0000-0000-0000CC050000}"/>
    <hyperlink ref="H501" r:id="rId1486" xr:uid="{00000000-0004-0000-0000-0000CD050000}"/>
    <hyperlink ref="I501" r:id="rId1487" xr:uid="{00000000-0004-0000-0000-0000CE050000}"/>
    <hyperlink ref="C502" r:id="rId1488" xr:uid="{00000000-0004-0000-0000-0000CF050000}"/>
    <hyperlink ref="H502" r:id="rId1489" xr:uid="{00000000-0004-0000-0000-0000D0050000}"/>
    <hyperlink ref="I502" r:id="rId1490" xr:uid="{00000000-0004-0000-0000-0000D1050000}"/>
    <hyperlink ref="C503" r:id="rId1491" xr:uid="{00000000-0004-0000-0000-0000D2050000}"/>
    <hyperlink ref="H503" r:id="rId1492" xr:uid="{00000000-0004-0000-0000-0000D3050000}"/>
    <hyperlink ref="I503" r:id="rId1493" xr:uid="{00000000-0004-0000-0000-0000D405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P498"/>
  <sheetViews>
    <sheetView workbookViewId="0"/>
  </sheetViews>
  <sheetFormatPr defaultColWidth="12.6328125" defaultRowHeight="15.75" customHeight="1"/>
  <cols>
    <col min="2" max="2" width="24.08984375" customWidth="1"/>
  </cols>
  <sheetData>
    <row r="1" spans="1:16" ht="14">
      <c r="A1" s="101" t="s">
        <v>744</v>
      </c>
      <c r="B1" s="101" t="s">
        <v>745</v>
      </c>
      <c r="C1" s="102" t="s">
        <v>746</v>
      </c>
      <c r="D1" s="101" t="s">
        <v>747</v>
      </c>
      <c r="H1" s="2" t="s">
        <v>7</v>
      </c>
      <c r="I1" s="34" t="s">
        <v>748</v>
      </c>
      <c r="J1" s="34" t="s">
        <v>749</v>
      </c>
      <c r="K1" s="100"/>
      <c r="L1" s="100"/>
      <c r="M1" s="103" t="s">
        <v>750</v>
      </c>
      <c r="N1" s="103" t="s">
        <v>751</v>
      </c>
      <c r="O1" s="103" t="s">
        <v>752</v>
      </c>
    </row>
    <row r="2" spans="1:16" ht="14">
      <c r="A2" s="104">
        <v>42</v>
      </c>
      <c r="B2" s="105" t="s">
        <v>12</v>
      </c>
      <c r="C2" s="104">
        <v>1551.3389999999999</v>
      </c>
      <c r="D2" s="104">
        <v>0.55069999999999997</v>
      </c>
      <c r="H2" s="12" t="s">
        <v>144</v>
      </c>
      <c r="I2" s="106">
        <f>SUMIF(Página1!$H$2:$H$503,H2,Página1!$G$2:$G$503)</f>
        <v>7582.1849999999995</v>
      </c>
      <c r="J2" s="34">
        <f>COUNTIF(Página1!$H$2:$H$503,H2)</f>
        <v>7</v>
      </c>
      <c r="K2" s="107" t="s">
        <v>753</v>
      </c>
      <c r="L2" s="100">
        <v>5000</v>
      </c>
      <c r="M2" s="34">
        <f>COUNTIF(Página1!$E$2:$E$503,"&lt;="&amp;L2)</f>
        <v>231</v>
      </c>
      <c r="N2" s="100">
        <f>SUMIF(Página1!$E$2:$E$503,"&lt;="&amp;L2)</f>
        <v>692742</v>
      </c>
      <c r="O2" s="108">
        <f>N2/Página1!$E$504</f>
        <v>6.0832322230358664E-2</v>
      </c>
      <c r="P2" s="108">
        <f t="shared" ref="P2:P18" si="0">M2/497</f>
        <v>0.46478873239436619</v>
      </c>
    </row>
    <row r="3" spans="1:16" ht="14">
      <c r="A3" s="104">
        <v>198</v>
      </c>
      <c r="B3" s="105" t="s">
        <v>17</v>
      </c>
      <c r="C3" s="104">
        <v>291.50299999999999</v>
      </c>
      <c r="D3" s="104">
        <v>0.10349999999999999</v>
      </c>
      <c r="H3" s="12" t="s">
        <v>65</v>
      </c>
      <c r="I3" s="106">
        <f>SUMIF(Página1!$H$2:$H$503,H3,Página1!$G$2:$G$503)</f>
        <v>5664.3630000000003</v>
      </c>
      <c r="J3" s="34">
        <f>COUNTIF(Página1!$H$2:$H$503,H3)</f>
        <v>8</v>
      </c>
      <c r="K3" s="107" t="s">
        <v>753</v>
      </c>
      <c r="L3" s="100">
        <v>10000</v>
      </c>
      <c r="M3" s="34">
        <f>COUNTIFS(Página1!$E$2:$E$503,"&lt;="&amp;L3,Página1!$E$2:$E$503,"&gt;"&amp;L2)</f>
        <v>99</v>
      </c>
      <c r="N3" s="100">
        <f>SUMIFS(Página1!$E$2:$E$503,Página1!$E$2:E$503,"&lt;="&amp;L3,Página1!$E$2:$E$503,"&gt;"&amp;L2)</f>
        <v>672962</v>
      </c>
      <c r="O3" s="108">
        <f>N3/Página1!$E$504</f>
        <v>5.9095364844035186E-2</v>
      </c>
      <c r="P3" s="108">
        <f t="shared" si="0"/>
        <v>0.19919517102615694</v>
      </c>
    </row>
    <row r="4" spans="1:16" ht="14" hidden="1">
      <c r="A4" s="104">
        <v>114</v>
      </c>
      <c r="B4" s="105" t="s">
        <v>23</v>
      </c>
      <c r="C4" s="104">
        <v>534.62400000000002</v>
      </c>
      <c r="D4" s="104">
        <v>0.1898</v>
      </c>
      <c r="H4" s="12" t="s">
        <v>560</v>
      </c>
      <c r="I4" s="106">
        <f>SUMIF(Página1!$H$2:$H$503,H4,Página1!$G$2:$G$503)</f>
        <v>17297.266000000003</v>
      </c>
      <c r="J4" s="34">
        <f>COUNTIF(Página1!$H$2:$H$503,H4)</f>
        <v>4</v>
      </c>
      <c r="K4" s="107" t="s">
        <v>753</v>
      </c>
      <c r="L4" s="100">
        <v>15000</v>
      </c>
      <c r="M4" s="34">
        <f>COUNTIFS(Página1!$E$2:$E$503,"&lt;="&amp;L4,Página1!$E$2:$E$503,"&gt;"&amp;L3)</f>
        <v>41</v>
      </c>
      <c r="N4" s="100">
        <f>SUMIFS(Página1!$E$2:$E$503,Página1!$E$2:E$503,"&lt;="&amp;L4,Página1!$E$2:$E$503,"&gt;"&amp;L3)</f>
        <v>495650</v>
      </c>
      <c r="O4" s="108">
        <f>N4/Página1!$E$504</f>
        <v>4.3524920552640477E-2</v>
      </c>
      <c r="P4" s="108">
        <f t="shared" si="0"/>
        <v>8.249496981891348E-2</v>
      </c>
    </row>
    <row r="5" spans="1:16" ht="14">
      <c r="A5" s="104">
        <v>181</v>
      </c>
      <c r="B5" s="105" t="s">
        <v>27</v>
      </c>
      <c r="C5" s="104">
        <v>322.69900000000001</v>
      </c>
      <c r="D5" s="104">
        <v>0.11459999999999999</v>
      </c>
      <c r="H5" s="12" t="s">
        <v>13</v>
      </c>
      <c r="I5" s="106">
        <f>SUMIF(Página1!$H$2:$H$503,H5,Página1!$G$2:$G$503)</f>
        <v>14259.327000000001</v>
      </c>
      <c r="J5" s="34">
        <f>COUNTIF(Página1!$H$2:$H$503,H5)</f>
        <v>5</v>
      </c>
      <c r="K5" s="107" t="s">
        <v>753</v>
      </c>
      <c r="L5" s="100">
        <v>20000</v>
      </c>
      <c r="M5" s="34">
        <f>COUNTIFS(Página1!$E$2:$E$503,"&lt;="&amp;L5,Página1!$E$2:$E$503,"&gt;"&amp;L4)</f>
        <v>17</v>
      </c>
      <c r="N5" s="100">
        <f>SUMIFS(Página1!$E$2:$E$503,Página1!$E$2:E$503,"&lt;="&amp;L5,Página1!$E$2:$E$503,"&gt;"&amp;L4)</f>
        <v>288274</v>
      </c>
      <c r="O5" s="108">
        <f>N5/Página1!$E$504</f>
        <v>2.5314441536148251E-2</v>
      </c>
      <c r="P5" s="108">
        <f t="shared" si="0"/>
        <v>3.4205231388329982E-2</v>
      </c>
    </row>
    <row r="6" spans="1:16" ht="14">
      <c r="A6" s="104">
        <v>182</v>
      </c>
      <c r="B6" s="105" t="s">
        <v>30</v>
      </c>
      <c r="C6" s="104">
        <v>316.39400000000001</v>
      </c>
      <c r="D6" s="104">
        <v>0.1123</v>
      </c>
      <c r="H6" s="12" t="s">
        <v>33</v>
      </c>
      <c r="I6" s="106">
        <f>SUMIF(Página1!$H$2:$H$503,H6,Página1!$G$2:$G$503)</f>
        <v>31107.195</v>
      </c>
      <c r="J6" s="34">
        <f>COUNTIF(Página1!$H$2:$H$503,H6)</f>
        <v>10</v>
      </c>
      <c r="K6" s="107" t="s">
        <v>753</v>
      </c>
      <c r="L6" s="100">
        <v>25000</v>
      </c>
      <c r="M6" s="34">
        <f>COUNTIFS(Página1!$E$2:$E$503,"&lt;="&amp;L6,Página1!$E$2:$E$503,"&gt;"&amp;L5)</f>
        <v>20</v>
      </c>
      <c r="N6" s="100">
        <f>SUMIFS(Página1!$E$2:$E$503,Página1!$E$2:E$503,"&lt;="&amp;L6,Página1!$E$2:$E$503,"&gt;"&amp;L5)</f>
        <v>451057</v>
      </c>
      <c r="O6" s="108">
        <f>N6/Página1!$E$504</f>
        <v>3.9609038817133776E-2</v>
      </c>
      <c r="P6" s="108">
        <f t="shared" si="0"/>
        <v>4.0241448692152917E-2</v>
      </c>
    </row>
    <row r="7" spans="1:16" ht="14">
      <c r="A7" s="104">
        <v>1</v>
      </c>
      <c r="B7" s="105" t="s">
        <v>32</v>
      </c>
      <c r="C7" s="104">
        <v>7800.1629999999996</v>
      </c>
      <c r="D7" s="104">
        <v>2.7688999999999999</v>
      </c>
      <c r="H7" s="12" t="s">
        <v>36</v>
      </c>
      <c r="I7" s="106">
        <f>SUMIF(Página1!$H$2:$H$503,H7,Página1!$G$2:$G$503)</f>
        <v>5188.1009999999997</v>
      </c>
      <c r="J7" s="34">
        <f>COUNTIF(Página1!$H$2:$H$503,H7)</f>
        <v>18</v>
      </c>
      <c r="K7" s="107" t="s">
        <v>753</v>
      </c>
      <c r="L7" s="100">
        <v>30000</v>
      </c>
      <c r="M7" s="34">
        <f>COUNTIFS(Página1!$E$2:$E$503,"&lt;="&amp;L7,Página1!$E$2:$E$503,"&gt;"&amp;L6)</f>
        <v>16</v>
      </c>
      <c r="N7" s="100">
        <f>SUMIFS(Página1!$E$2:$E$503,Página1!$E$2:E$503,"&lt;="&amp;L7,Página1!$E$2:$E$503,"&gt;"&amp;L6)</f>
        <v>438488</v>
      </c>
      <c r="O7" s="108">
        <f>N7/Página1!$E$504</f>
        <v>3.8505306896572618E-2</v>
      </c>
      <c r="P7" s="108">
        <f t="shared" si="0"/>
        <v>3.2193158953722337E-2</v>
      </c>
    </row>
    <row r="8" spans="1:16" ht="14">
      <c r="A8" s="104">
        <v>311</v>
      </c>
      <c r="B8" s="105" t="s">
        <v>34</v>
      </c>
      <c r="C8" s="104">
        <v>172.79400000000001</v>
      </c>
      <c r="D8" s="104">
        <v>6.13E-2</v>
      </c>
      <c r="H8" s="51" t="s">
        <v>62</v>
      </c>
      <c r="I8" s="106">
        <f>SUMIF(Página1!$H$2:$H$503,H8,Página1!$G$2:$G$503)</f>
        <v>4967.3500000000004</v>
      </c>
      <c r="J8" s="34">
        <f>COUNTIF(Página1!$H$2:$H$503,H8)</f>
        <v>19</v>
      </c>
      <c r="K8" s="107" t="s">
        <v>753</v>
      </c>
      <c r="L8" s="100">
        <v>40000</v>
      </c>
      <c r="M8" s="34">
        <f>COUNTIFS(Página1!$E$2:$E$503,"&lt;="&amp;L8,Página1!$E$2:$E$503,"&gt;"&amp;L7)</f>
        <v>19</v>
      </c>
      <c r="N8" s="100">
        <f>SUMIFS(Página1!$E$2:$E$503,Página1!$E$2:E$503,"&lt;="&amp;L8,Página1!$E$2:$E$503,"&gt;"&amp;L7)</f>
        <v>662629</v>
      </c>
      <c r="O8" s="108">
        <f>N8/Página1!$E$504</f>
        <v>5.8187984628014944E-2</v>
      </c>
      <c r="P8" s="108">
        <f t="shared" si="0"/>
        <v>3.8229376257545272E-2</v>
      </c>
    </row>
    <row r="9" spans="1:16" ht="14">
      <c r="A9" s="104">
        <v>220</v>
      </c>
      <c r="B9" s="105" t="s">
        <v>35</v>
      </c>
      <c r="C9" s="104">
        <v>265.327</v>
      </c>
      <c r="D9" s="104">
        <v>9.4200000000000006E-2</v>
      </c>
      <c r="H9" s="12" t="s">
        <v>150</v>
      </c>
      <c r="I9" s="106">
        <f>SUMIF(Página1!$H$2:$H$503,H9,Página1!$G$2:$G$503)</f>
        <v>2253.7219999999998</v>
      </c>
      <c r="J9" s="34">
        <f>COUNTIF(Página1!$H$2:$H$503,H9)</f>
        <v>11</v>
      </c>
      <c r="K9" s="107" t="s">
        <v>753</v>
      </c>
      <c r="L9" s="100">
        <v>50000</v>
      </c>
      <c r="M9" s="34">
        <f>COUNTIFS(Página1!$E$2:$E$503,"&lt;="&amp;L9,Página1!$E$2:$E$503,"&gt;"&amp;L8)</f>
        <v>9</v>
      </c>
      <c r="N9" s="100">
        <f>SUMIFS(Página1!$E$2:$E$503,Página1!$E$2:E$503,"&lt;="&amp;L9,Página1!$E$2:$E$503,"&gt;"&amp;L8)</f>
        <v>396795</v>
      </c>
      <c r="O9" s="108">
        <f>N9/Página1!$E$504</f>
        <v>3.4844085242983915E-2</v>
      </c>
      <c r="P9" s="108">
        <f t="shared" si="0"/>
        <v>1.8108651911468814E-2</v>
      </c>
    </row>
    <row r="10" spans="1:16" ht="14">
      <c r="A10" s="104">
        <v>178</v>
      </c>
      <c r="B10" s="105" t="s">
        <v>38</v>
      </c>
      <c r="C10" s="104">
        <v>325.97899999999998</v>
      </c>
      <c r="D10" s="104">
        <v>0.1157</v>
      </c>
      <c r="H10" s="12" t="s">
        <v>42</v>
      </c>
      <c r="I10" s="106">
        <f>SUMIF(Página1!$H$2:$H$503,H10,Página1!$G$2:$G$503)</f>
        <v>8453.3019999999997</v>
      </c>
      <c r="J10" s="34">
        <f>COUNTIF(Página1!$H$2:$H$503,H10)</f>
        <v>14</v>
      </c>
      <c r="K10" s="107" t="s">
        <v>753</v>
      </c>
      <c r="L10" s="100">
        <v>60000</v>
      </c>
      <c r="M10" s="34">
        <f>COUNTIFS(Página1!$E$2:$E$503,"&lt;="&amp;L10,Página1!$E$2:$E$503,"&gt;"&amp;L9)</f>
        <v>6</v>
      </c>
      <c r="N10" s="100">
        <f>SUMIFS(Página1!$E$2:$E$503,Página1!$E$2:E$503,"&lt;="&amp;L10,Página1!$E$2:$E$503,"&gt;"&amp;L9)</f>
        <v>326569</v>
      </c>
      <c r="O10" s="108">
        <f>N10/Página1!$E$504</f>
        <v>2.8677271824786136E-2</v>
      </c>
      <c r="P10" s="108">
        <f t="shared" si="0"/>
        <v>1.2072434607645875E-2</v>
      </c>
    </row>
    <row r="11" spans="1:16" ht="14">
      <c r="A11" s="104">
        <v>387</v>
      </c>
      <c r="B11" s="105" t="s">
        <v>41</v>
      </c>
      <c r="C11" s="104">
        <v>115.33499999999999</v>
      </c>
      <c r="D11" s="104">
        <v>4.0899999999999999E-2</v>
      </c>
      <c r="H11" s="30" t="s">
        <v>70</v>
      </c>
      <c r="I11" s="106">
        <f>SUMIF(Página1!$H$2:$H$503,H11,Página1!$G$2:$G$503)</f>
        <v>5724.8799999999992</v>
      </c>
      <c r="J11" s="34">
        <f>COUNTIF(Página1!$H$2:$H$503,H11)</f>
        <v>30</v>
      </c>
      <c r="K11" s="107" t="s">
        <v>753</v>
      </c>
      <c r="L11" s="100">
        <v>70000</v>
      </c>
      <c r="M11" s="34">
        <f>COUNTIFS(Página1!$E$2:$E$503,"&lt;="&amp;L11,Página1!$E$2:$E$503,"&gt;"&amp;L10)</f>
        <v>8</v>
      </c>
      <c r="N11" s="100">
        <f>SUMIFS(Página1!$E$2:$E$503,Página1!$E$2:E$503,"&lt;="&amp;L11,Página1!$E$2:$E$503,"&gt;"&amp;L10)</f>
        <v>509251</v>
      </c>
      <c r="O11" s="108">
        <f>N11/Página1!$E$504</f>
        <v>4.4719276336835902E-2</v>
      </c>
      <c r="P11" s="108">
        <f t="shared" si="0"/>
        <v>1.6096579476861168E-2</v>
      </c>
    </row>
    <row r="12" spans="1:16" ht="14">
      <c r="A12" s="104">
        <v>450</v>
      </c>
      <c r="B12" s="105" t="s">
        <v>43</v>
      </c>
      <c r="C12" s="104">
        <v>78.846000000000004</v>
      </c>
      <c r="D12" s="104">
        <v>2.8000000000000001E-2</v>
      </c>
      <c r="H12" s="12" t="s">
        <v>39</v>
      </c>
      <c r="I12" s="106">
        <f>SUMIF(Página1!$H$2:$H$503,H12,Página1!$G$2:$G$503)</f>
        <v>5147.8400000000011</v>
      </c>
      <c r="J12" s="34">
        <f>COUNTIF(Página1!$H$2:$H$503,H12)</f>
        <v>27</v>
      </c>
      <c r="K12" s="107" t="s">
        <v>753</v>
      </c>
      <c r="L12" s="100">
        <v>80000</v>
      </c>
      <c r="M12" s="34">
        <f>COUNTIFS(Página1!$E$2:$E$503,"&lt;="&amp;L12,Página1!$E$2:$E$503,"&gt;"&amp;L11)</f>
        <v>6</v>
      </c>
      <c r="N12" s="100">
        <f>SUMIFS(Página1!$E$2:$E$503,Página1!$E$2:E$503,"&lt;="&amp;L12,Página1!$E$2:$E$503,"&gt;"&amp;L11)</f>
        <v>445348</v>
      </c>
      <c r="O12" s="108">
        <f>N12/Página1!$E$504</f>
        <v>3.9107709711040717E-2</v>
      </c>
      <c r="P12" s="108">
        <f t="shared" si="0"/>
        <v>1.2072434607645875E-2</v>
      </c>
    </row>
    <row r="13" spans="1:16" ht="14">
      <c r="A13" s="104">
        <v>464</v>
      </c>
      <c r="B13" s="105" t="s">
        <v>47</v>
      </c>
      <c r="C13" s="104">
        <v>71.647999999999996</v>
      </c>
      <c r="D13" s="104">
        <v>2.5399999999999999E-2</v>
      </c>
      <c r="H13" s="51" t="s">
        <v>170</v>
      </c>
      <c r="I13" s="106">
        <f>SUMIF(Página1!$H$2:$H$503,H13,Página1!$G$2:$G$503)</f>
        <v>2761.8159999999993</v>
      </c>
      <c r="J13" s="34">
        <f>COUNTIF(Página1!$H$2:$H$503,H13)</f>
        <v>15</v>
      </c>
      <c r="K13" s="107" t="s">
        <v>753</v>
      </c>
      <c r="L13" s="100">
        <v>90000</v>
      </c>
      <c r="M13" s="34">
        <f>COUNTIFS(Página1!$E$2:$E$503,"&lt;="&amp;L13,Página1!$E$2:$E$503,"&gt;"&amp;L12)</f>
        <v>5</v>
      </c>
      <c r="N13" s="100">
        <f>SUMIFS(Página1!$E$2:$E$503,Página1!$E$2:E$503,"&lt;="&amp;L13,Página1!$E$2:$E$503,"&gt;"&amp;L12)</f>
        <v>414626</v>
      </c>
      <c r="O13" s="108">
        <f>N13/Página1!$E$504</f>
        <v>3.6409893491494219E-2</v>
      </c>
      <c r="P13" s="108">
        <f t="shared" si="0"/>
        <v>1.0060362173038229E-2</v>
      </c>
    </row>
    <row r="14" spans="1:16" ht="14">
      <c r="A14" s="104">
        <v>123</v>
      </c>
      <c r="B14" s="105" t="s">
        <v>49</v>
      </c>
      <c r="C14" s="104">
        <v>505.983</v>
      </c>
      <c r="D14" s="104">
        <v>0.17960000000000001</v>
      </c>
      <c r="H14" s="51" t="s">
        <v>56</v>
      </c>
      <c r="I14" s="106">
        <f>SUMIF(Página1!$H$2:$H$503,H14,Página1!$G$2:$G$503)</f>
        <v>3591.154</v>
      </c>
      <c r="J14" s="34">
        <f>COUNTIF(Página1!$H$2:$H$503,H14)</f>
        <v>21</v>
      </c>
      <c r="K14" s="107" t="s">
        <v>753</v>
      </c>
      <c r="L14" s="100">
        <v>100000</v>
      </c>
      <c r="M14" s="34">
        <f>COUNTIFS(Página1!$E$2:$E$503,"&lt;="&amp;L14,Página1!$E$2:$E$503,"&gt;"&amp;L13)</f>
        <v>1</v>
      </c>
      <c r="N14" s="100">
        <f>SUMIFS(Página1!$E$2:$E$503,Página1!$E$2:E$503,"&lt;="&amp;L14,Página1!$E$2:$E$503,"&gt;"&amp;L13)</f>
        <v>98143</v>
      </c>
      <c r="O14" s="108">
        <f>N14/Página1!$E$504</f>
        <v>8.6183118688546237E-3</v>
      </c>
      <c r="P14" s="108">
        <f t="shared" si="0"/>
        <v>2.012072434607646E-3</v>
      </c>
    </row>
    <row r="15" spans="1:16" ht="14">
      <c r="A15" s="104">
        <v>430</v>
      </c>
      <c r="B15" s="105" t="s">
        <v>52</v>
      </c>
      <c r="C15" s="104">
        <v>93.703999999999994</v>
      </c>
      <c r="D15" s="104">
        <v>3.3300000000000003E-2</v>
      </c>
      <c r="H15" s="12" t="s">
        <v>28</v>
      </c>
      <c r="I15" s="106">
        <f>SUMIF(Página1!$H$2:$H$503,H15,Página1!$G$2:$G$503)</f>
        <v>5101.68</v>
      </c>
      <c r="J15" s="34">
        <f>COUNTIF(Página1!$H$2:$H$503,H15)</f>
        <v>15</v>
      </c>
      <c r="K15" s="107" t="s">
        <v>753</v>
      </c>
      <c r="L15" s="100">
        <v>150000</v>
      </c>
      <c r="M15" s="34">
        <f>COUNTIFS(Página1!$E$2:$E$503,"&lt;="&amp;L15,Página1!$E$2:$E$503,"&gt;"&amp;L14)</f>
        <v>7</v>
      </c>
      <c r="N15" s="100">
        <f>SUMIFS(Página1!$E$2:$E$503,Página1!$E$2:E$503,"&lt;="&amp;L15,Página1!$E$2:$E$503,"&gt;"&amp;L14)</f>
        <v>876213</v>
      </c>
      <c r="O15" s="108">
        <f>N15/Página1!$E$504</f>
        <v>7.6943611847454393E-2</v>
      </c>
      <c r="P15" s="108">
        <f t="shared" si="0"/>
        <v>1.4084507042253521E-2</v>
      </c>
    </row>
    <row r="16" spans="1:16" ht="14">
      <c r="A16" s="104">
        <v>175</v>
      </c>
      <c r="B16" s="105" t="s">
        <v>55</v>
      </c>
      <c r="C16" s="104">
        <v>331.22699999999998</v>
      </c>
      <c r="D16" s="104">
        <v>0.1176</v>
      </c>
      <c r="H16" s="12" t="s">
        <v>86</v>
      </c>
      <c r="I16" s="106">
        <f>SUMIF(Página1!$H$2:$H$503,H16,Página1!$G$2:$G$503)</f>
        <v>7694.0919999999996</v>
      </c>
      <c r="J16" s="34">
        <f>COUNTIF(Página1!$H$2:$H$503,H16)</f>
        <v>4</v>
      </c>
      <c r="K16" s="107" t="s">
        <v>753</v>
      </c>
      <c r="L16" s="100">
        <v>250000</v>
      </c>
      <c r="M16" s="34">
        <f>COUNTIFS(Página1!$E$2:$E$503,"&lt;="&amp;L16,Página1!$E$2:$E$503,"&gt;"&amp;L15)</f>
        <v>5</v>
      </c>
      <c r="N16" s="100">
        <f>SUMIFS(Página1!$E$2:$E$503,Página1!$E$2:E$503,"&lt;="&amp;L16,Página1!$E$2:$E$503,"&gt;"&amp;L15)</f>
        <v>1108168</v>
      </c>
      <c r="O16" s="108">
        <f>N16/Página1!$E$504</f>
        <v>9.7312466778933709E-2</v>
      </c>
      <c r="P16" s="108">
        <f t="shared" si="0"/>
        <v>1.0060362173038229E-2</v>
      </c>
    </row>
    <row r="17" spans="1:16" ht="14">
      <c r="A17" s="104">
        <v>242</v>
      </c>
      <c r="B17" s="105" t="s">
        <v>59</v>
      </c>
      <c r="C17" s="104">
        <v>242.26</v>
      </c>
      <c r="D17" s="104">
        <v>8.5999999999999993E-2</v>
      </c>
      <c r="H17" s="51" t="s">
        <v>267</v>
      </c>
      <c r="I17" s="106">
        <f>SUMIF(Página1!$H$2:$H$503,H17,Página1!$G$2:$G$503)</f>
        <v>286.5</v>
      </c>
      <c r="J17" s="34">
        <f>COUNTIF(Página1!$H$2:$H$503,H17)</f>
        <v>2</v>
      </c>
      <c r="K17" s="107" t="s">
        <v>753</v>
      </c>
      <c r="L17" s="100">
        <v>350000</v>
      </c>
      <c r="M17" s="34">
        <f>COUNTIFS(Página1!$E$2:$E$503,"&lt;="&amp;L17,Página1!$E$2:$E$503,"&gt;"&amp;L16)</f>
        <v>4</v>
      </c>
      <c r="N17" s="100">
        <f>SUMIFS(Página1!$E$2:$E$503,Página1!$E$2:E$503,"&lt;="&amp;L17,Página1!$E$2:$E$503,"&gt;"&amp;L16)</f>
        <v>1161808</v>
      </c>
      <c r="O17" s="108">
        <f>N17/Página1!$E$504</f>
        <v>0.10202280015620323</v>
      </c>
      <c r="P17" s="108">
        <f t="shared" si="0"/>
        <v>8.0482897384305842E-3</v>
      </c>
    </row>
    <row r="18" spans="1:16" ht="14">
      <c r="A18" s="104">
        <v>167</v>
      </c>
      <c r="B18" s="105" t="s">
        <v>61</v>
      </c>
      <c r="C18" s="104">
        <v>348.19099999999997</v>
      </c>
      <c r="D18" s="104">
        <v>0.1236</v>
      </c>
      <c r="H18" s="30" t="s">
        <v>73</v>
      </c>
      <c r="I18" s="106">
        <f>SUMIF(Página1!$H$2:$H$503,H18,Página1!$G$2:$G$503)</f>
        <v>3768.7209999999995</v>
      </c>
      <c r="J18" s="34">
        <f>COUNTIF(Página1!$H$2:$H$503,H18)</f>
        <v>29</v>
      </c>
      <c r="K18" s="107" t="s">
        <v>754</v>
      </c>
      <c r="L18" s="100">
        <v>350000</v>
      </c>
      <c r="M18" s="34">
        <f>COUNTIF(Página1!$E$2:$E$503,"&gt;="&amp;L18)</f>
        <v>3</v>
      </c>
      <c r="N18" s="100">
        <f>SUMIF(Página1!$E$2:$E$503,"&gt;="&amp;L18)</f>
        <v>2349006</v>
      </c>
      <c r="O18" s="108">
        <f>N18/Página1!$E$504</f>
        <v>0.20627519323650922</v>
      </c>
      <c r="P18" s="108">
        <f t="shared" si="0"/>
        <v>6.0362173038229373E-3</v>
      </c>
    </row>
    <row r="19" spans="1:16" ht="14">
      <c r="A19" s="104">
        <v>116</v>
      </c>
      <c r="B19" s="105" t="s">
        <v>64</v>
      </c>
      <c r="C19" s="104">
        <v>518.19299999999998</v>
      </c>
      <c r="D19" s="104">
        <v>0.18390000000000001</v>
      </c>
      <c r="H19" s="12" t="s">
        <v>217</v>
      </c>
      <c r="I19" s="106">
        <f>SUMIF(Página1!$H$2:$H$503,H19,Página1!$G$2:$G$503)</f>
        <v>9179.2690000000002</v>
      </c>
      <c r="J19" s="34">
        <f>COUNTIF(Página1!$H$2:$H$503,H19)</f>
        <v>4</v>
      </c>
      <c r="K19" s="100"/>
      <c r="L19" s="100"/>
    </row>
    <row r="20" spans="1:16" ht="14">
      <c r="A20" s="104">
        <v>493</v>
      </c>
      <c r="B20" s="105" t="s">
        <v>67</v>
      </c>
      <c r="C20" s="104">
        <v>35.295999999999999</v>
      </c>
      <c r="D20" s="104">
        <v>1.2500000000000001E-2</v>
      </c>
      <c r="H20" s="51" t="s">
        <v>44</v>
      </c>
      <c r="I20" s="106">
        <f>SUMIF(Página1!$H$2:$H$503,H20,Página1!$G$2:$G$503)</f>
        <v>2081.5749999999998</v>
      </c>
      <c r="J20" s="34">
        <f>COUNTIF(Página1!$H$2:$H$503,H20)</f>
        <v>21</v>
      </c>
      <c r="K20" s="100"/>
      <c r="L20" s="100"/>
    </row>
    <row r="21" spans="1:16" ht="14">
      <c r="A21" s="104">
        <v>168</v>
      </c>
      <c r="B21" s="105" t="s">
        <v>69</v>
      </c>
      <c r="C21" s="104">
        <v>342.279</v>
      </c>
      <c r="D21" s="104">
        <v>0.1215</v>
      </c>
      <c r="H21" s="51" t="s">
        <v>227</v>
      </c>
      <c r="I21" s="106">
        <f>SUMIF(Página1!$H$2:$H$503,H21,Página1!$G$2:$G$503)</f>
        <v>1495.069</v>
      </c>
      <c r="J21" s="34">
        <f>COUNTIF(Página1!$H$2:$H$503,H21)</f>
        <v>7</v>
      </c>
      <c r="K21" s="100"/>
      <c r="L21" s="100"/>
    </row>
    <row r="22" spans="1:16" ht="14">
      <c r="A22" s="104">
        <v>328</v>
      </c>
      <c r="B22" s="105" t="s">
        <v>72</v>
      </c>
      <c r="C22" s="104">
        <v>157.58000000000001</v>
      </c>
      <c r="D22" s="104">
        <v>5.5899999999999998E-2</v>
      </c>
      <c r="H22" s="51" t="s">
        <v>79</v>
      </c>
      <c r="I22" s="106">
        <f>SUMIF(Página1!$H$2:$H$503,H22,Página1!$G$2:$G$503)</f>
        <v>8766.4140000000007</v>
      </c>
      <c r="J22" s="34">
        <f>COUNTIF(Página1!$H$2:$H$503,H22)</f>
        <v>23</v>
      </c>
      <c r="K22" s="100"/>
      <c r="L22" s="100"/>
    </row>
    <row r="23" spans="1:16" ht="14">
      <c r="A23" s="104">
        <v>374</v>
      </c>
      <c r="B23" s="105" t="s">
        <v>76</v>
      </c>
      <c r="C23" s="104">
        <v>124.693</v>
      </c>
      <c r="D23" s="104">
        <v>4.4299999999999999E-2</v>
      </c>
      <c r="H23" s="51" t="s">
        <v>18</v>
      </c>
      <c r="I23" s="106">
        <f>SUMIF(Página1!$H$2:$H$503,H23,Página1!$G$2:$G$503)</f>
        <v>7063.6169999999984</v>
      </c>
      <c r="J23" s="34">
        <f>COUNTIF(Página1!$H$2:$H$503,H23)</f>
        <v>26</v>
      </c>
      <c r="K23" s="100"/>
      <c r="L23" s="100"/>
    </row>
    <row r="24" spans="1:16" ht="14">
      <c r="A24" s="104">
        <v>384</v>
      </c>
      <c r="B24" s="105" t="s">
        <v>78</v>
      </c>
      <c r="C24" s="104">
        <v>119.163</v>
      </c>
      <c r="D24" s="104">
        <v>4.2299999999999997E-2</v>
      </c>
      <c r="H24" s="12" t="s">
        <v>77</v>
      </c>
      <c r="I24" s="106">
        <f>SUMIF(Página1!$H$2:$H$503,H24,Página1!$G$2:$G$503)</f>
        <v>10316.277</v>
      </c>
      <c r="J24" s="34">
        <f>COUNTIF(Página1!$H$2:$H$503,H24)</f>
        <v>10</v>
      </c>
      <c r="K24" s="100"/>
      <c r="L24" s="100"/>
    </row>
    <row r="25" spans="1:16" ht="14">
      <c r="A25" s="104">
        <v>183</v>
      </c>
      <c r="B25" s="105" t="s">
        <v>81</v>
      </c>
      <c r="C25" s="104">
        <v>315.13200000000001</v>
      </c>
      <c r="D25" s="104">
        <v>0.1119</v>
      </c>
      <c r="H25" s="51" t="s">
        <v>48</v>
      </c>
      <c r="I25" s="106">
        <f>SUMIF(Página1!$H$2:$H$503,H25,Página1!$G$2:$G$503)</f>
        <v>5588.0140000000001</v>
      </c>
      <c r="J25" s="34">
        <f>COUNTIF(Página1!$H$2:$H$503,H25)</f>
        <v>22</v>
      </c>
      <c r="K25" s="100"/>
      <c r="L25" s="100"/>
    </row>
    <row r="26" spans="1:16" ht="14">
      <c r="A26" s="104">
        <v>143</v>
      </c>
      <c r="B26" s="105" t="s">
        <v>83</v>
      </c>
      <c r="C26" s="104">
        <v>425.791</v>
      </c>
      <c r="D26" s="104">
        <v>0.15110000000000001</v>
      </c>
      <c r="H26" s="12" t="s">
        <v>24</v>
      </c>
      <c r="I26" s="106">
        <f>SUMIF(Página1!$H$2:$H$503,H26,Página1!$G$2:$G$503)</f>
        <v>3000.9300000000003</v>
      </c>
      <c r="J26" s="34">
        <f>COUNTIF(Página1!$H$2:$H$503,H26)</f>
        <v>9</v>
      </c>
      <c r="K26" s="100"/>
      <c r="L26" s="100"/>
    </row>
    <row r="27" spans="1:16" ht="14">
      <c r="A27" s="104">
        <v>21</v>
      </c>
      <c r="B27" s="105" t="s">
        <v>85</v>
      </c>
      <c r="C27" s="104">
        <v>2508.5450000000001</v>
      </c>
      <c r="D27" s="104">
        <v>0.89049999999999996</v>
      </c>
      <c r="H27" s="51" t="s">
        <v>109</v>
      </c>
      <c r="I27" s="106">
        <f>SUMIF(Página1!$H$2:$H$503,H27,Página1!$G$2:$G$503)</f>
        <v>3065.6459999999997</v>
      </c>
      <c r="J27" s="34">
        <f>COUNTIF(Página1!$H$2:$H$503,H27)</f>
        <v>11</v>
      </c>
      <c r="K27" s="100"/>
      <c r="L27" s="100"/>
    </row>
    <row r="28" spans="1:16" ht="14">
      <c r="A28" s="104">
        <v>214</v>
      </c>
      <c r="B28" s="105" t="s">
        <v>88</v>
      </c>
      <c r="C28" s="104">
        <v>270.24099999999999</v>
      </c>
      <c r="D28" s="104">
        <v>9.5899999999999999E-2</v>
      </c>
      <c r="H28" s="30" t="s">
        <v>82</v>
      </c>
      <c r="I28" s="106">
        <f>SUMIF(Página1!$H$2:$H$503,H28,Página1!$G$2:$G$503)</f>
        <v>5475.2220000000007</v>
      </c>
      <c r="J28" s="34">
        <f>COUNTIF(Página1!$H$2:$H$503,H28)</f>
        <v>16</v>
      </c>
      <c r="K28" s="100"/>
      <c r="L28" s="100"/>
    </row>
    <row r="29" spans="1:16" ht="14">
      <c r="A29" s="104">
        <v>166</v>
      </c>
      <c r="B29" s="105" t="s">
        <v>90</v>
      </c>
      <c r="C29" s="104">
        <v>348.33</v>
      </c>
      <c r="D29" s="104">
        <v>0.1236</v>
      </c>
      <c r="H29" s="12" t="s">
        <v>143</v>
      </c>
      <c r="I29" s="106">
        <f>SUMIF(Página1!$H$2:$H$503,H29,Página1!$G$2:$G$503)</f>
        <v>11735.54</v>
      </c>
      <c r="J29" s="34">
        <f>COUNTIF(Página1!$H$2:$H$503,H29)</f>
        <v>13</v>
      </c>
      <c r="K29" s="100"/>
      <c r="L29" s="100"/>
    </row>
    <row r="30" spans="1:16" ht="14">
      <c r="A30" s="104">
        <v>329</v>
      </c>
      <c r="B30" s="105" t="s">
        <v>91</v>
      </c>
      <c r="C30" s="104">
        <v>156.727</v>
      </c>
      <c r="D30" s="104">
        <v>5.5599999999999997E-2</v>
      </c>
      <c r="H30" s="12" t="s">
        <v>31</v>
      </c>
      <c r="I30" s="106">
        <f>SUMIF(Página1!$H$2:$H$503,H30,Página1!$G$2:$G$503)</f>
        <v>3456.0549999999998</v>
      </c>
      <c r="J30" s="34">
        <f>COUNTIF(Página1!$H$2:$H$503,H30)</f>
        <v>13</v>
      </c>
      <c r="K30" s="100"/>
      <c r="L30" s="100"/>
    </row>
    <row r="31" spans="1:16" ht="14">
      <c r="A31" s="104">
        <v>8</v>
      </c>
      <c r="B31" s="105" t="s">
        <v>93</v>
      </c>
      <c r="C31" s="104">
        <v>4090.36</v>
      </c>
      <c r="D31" s="104">
        <v>1.452</v>
      </c>
      <c r="H31" s="12" t="s">
        <v>181</v>
      </c>
      <c r="I31" s="106">
        <f>SUMIF(Página1!$H$2:$H$503,H31,Página1!$G$2:$G$503)</f>
        <v>11205.970000000001</v>
      </c>
      <c r="J31" s="34">
        <f>COUNTIF(Página1!$H$2:$H$503,H31)</f>
        <v>9</v>
      </c>
      <c r="K31" s="100"/>
      <c r="L31" s="100"/>
    </row>
    <row r="32" spans="1:16" ht="14">
      <c r="A32" s="104">
        <v>415</v>
      </c>
      <c r="B32" s="105" t="s">
        <v>94</v>
      </c>
      <c r="C32" s="104">
        <v>102.386</v>
      </c>
      <c r="D32" s="104">
        <v>3.6299999999999999E-2</v>
      </c>
      <c r="H32" s="12" t="s">
        <v>134</v>
      </c>
      <c r="I32" s="106">
        <f>SUMIF(Página1!$H$2:$H$503,H32,Página1!$G$2:$G$503)</f>
        <v>10758.787999999999</v>
      </c>
      <c r="J32" s="34">
        <f>COUNTIF(Página1!$H$2:$H$503,H32)</f>
        <v>16</v>
      </c>
      <c r="K32" s="100"/>
      <c r="L32" s="100"/>
    </row>
    <row r="33" spans="1:12" ht="14">
      <c r="A33" s="104">
        <v>375</v>
      </c>
      <c r="B33" s="105" t="s">
        <v>96</v>
      </c>
      <c r="C33" s="104">
        <v>124.113</v>
      </c>
      <c r="D33" s="104">
        <v>4.41E-2</v>
      </c>
      <c r="H33" s="30" t="s">
        <v>84</v>
      </c>
      <c r="I33" s="106">
        <f>SUMIF(Página1!$H$2:$H$503,H33,Página1!$G$2:$G$503)</f>
        <v>4848.7380000000003</v>
      </c>
      <c r="J33" s="34">
        <f>COUNTIF(Página1!$H$2:$H$503,H33)</f>
        <v>9</v>
      </c>
      <c r="K33" s="100"/>
      <c r="L33" s="100"/>
    </row>
    <row r="34" spans="1:12" ht="14">
      <c r="A34" s="104">
        <v>224</v>
      </c>
      <c r="B34" s="105" t="s">
        <v>98</v>
      </c>
      <c r="C34" s="104">
        <v>260.505</v>
      </c>
      <c r="D34" s="104">
        <v>9.2499999999999999E-2</v>
      </c>
      <c r="H34" s="12" t="s">
        <v>50</v>
      </c>
      <c r="I34" s="106">
        <f>SUMIF(Página1!$H$2:$H$503,H34,Página1!$G$2:$G$503)</f>
        <v>15041.806999999999</v>
      </c>
      <c r="J34" s="34">
        <f>COUNTIF(Página1!$H$2:$H$503,H34)</f>
        <v>7</v>
      </c>
      <c r="K34" s="100"/>
      <c r="L34" s="100"/>
    </row>
    <row r="35" spans="1:12" ht="14">
      <c r="A35" s="104">
        <v>141</v>
      </c>
      <c r="B35" s="105" t="s">
        <v>99</v>
      </c>
      <c r="C35" s="104">
        <v>436.101</v>
      </c>
      <c r="D35" s="104">
        <v>0.15479999999999999</v>
      </c>
      <c r="H35" s="51" t="s">
        <v>112</v>
      </c>
      <c r="I35" s="106">
        <f>SUMIF(Página1!$H$2:$H$503,H35,Página1!$G$2:$G$503)</f>
        <v>3607.721</v>
      </c>
      <c r="J35" s="34">
        <f>COUNTIF(Página1!$H$2:$H$503,H35)</f>
        <v>8</v>
      </c>
      <c r="K35" s="100"/>
      <c r="L35" s="100"/>
    </row>
    <row r="36" spans="1:12" ht="14">
      <c r="A36" s="104">
        <v>476</v>
      </c>
      <c r="B36" s="105" t="s">
        <v>100</v>
      </c>
      <c r="C36" s="104">
        <v>62.801000000000002</v>
      </c>
      <c r="D36" s="104">
        <v>2.23E-2</v>
      </c>
      <c r="H36" s="12" t="s">
        <v>101</v>
      </c>
      <c r="I36" s="106">
        <f>SUMIF(Página1!$H$2:$H$503,H36,Página1!$G$2:$G$503)</f>
        <v>3863.0119999999997</v>
      </c>
      <c r="J36" s="34">
        <f>COUNTIF(Página1!$H$2:$H$503,H36)</f>
        <v>20</v>
      </c>
      <c r="K36" s="100"/>
      <c r="L36" s="100"/>
    </row>
    <row r="37" spans="1:12" ht="14">
      <c r="A37" s="104">
        <v>61</v>
      </c>
      <c r="B37" s="105" t="s">
        <v>102</v>
      </c>
      <c r="C37" s="104">
        <v>1055.9369999999999</v>
      </c>
      <c r="D37" s="104">
        <v>0.37480000000000002</v>
      </c>
      <c r="H37" s="51" t="s">
        <v>125</v>
      </c>
      <c r="I37" s="106">
        <f>SUMIF(Página1!$H$2:$H$503,H37,Página1!$G$2:$G$503)</f>
        <v>17238.691999999999</v>
      </c>
      <c r="J37" s="34">
        <f>COUNTIF(Página1!$H$2:$H$503,H37)</f>
        <v>14</v>
      </c>
      <c r="K37" s="100"/>
      <c r="L37" s="100"/>
    </row>
    <row r="38" spans="1:12" ht="14">
      <c r="A38" s="104">
        <v>87</v>
      </c>
      <c r="B38" s="105" t="s">
        <v>103</v>
      </c>
      <c r="C38" s="104">
        <v>729.31600000000003</v>
      </c>
      <c r="D38" s="104">
        <v>0.25890000000000002</v>
      </c>
    </row>
    <row r="39" spans="1:12" ht="14">
      <c r="A39" s="104">
        <v>342</v>
      </c>
      <c r="B39" s="105" t="s">
        <v>105</v>
      </c>
      <c r="C39" s="104">
        <v>146.995</v>
      </c>
      <c r="D39" s="104">
        <v>5.2200000000000003E-2</v>
      </c>
    </row>
    <row r="40" spans="1:12" ht="14">
      <c r="A40" s="104">
        <v>480</v>
      </c>
      <c r="B40" s="105" t="s">
        <v>107</v>
      </c>
      <c r="C40" s="104">
        <v>60.436999999999998</v>
      </c>
      <c r="D40" s="104">
        <v>2.1499999999999998E-2</v>
      </c>
    </row>
    <row r="41" spans="1:12" ht="14">
      <c r="A41" s="104">
        <v>117</v>
      </c>
      <c r="B41" s="105" t="s">
        <v>108</v>
      </c>
      <c r="C41" s="104">
        <v>515.46900000000005</v>
      </c>
      <c r="D41" s="104">
        <v>0.183</v>
      </c>
    </row>
    <row r="42" spans="1:12" ht="14">
      <c r="A42" s="104">
        <v>99</v>
      </c>
      <c r="B42" s="105" t="s">
        <v>111</v>
      </c>
      <c r="C42" s="104">
        <v>647.99400000000003</v>
      </c>
      <c r="D42" s="104">
        <v>0.23</v>
      </c>
    </row>
    <row r="43" spans="1:12" ht="14">
      <c r="A43" s="104">
        <v>360</v>
      </c>
      <c r="B43" s="105" t="s">
        <v>114</v>
      </c>
      <c r="C43" s="104">
        <v>132.351</v>
      </c>
      <c r="D43" s="104">
        <v>4.7E-2</v>
      </c>
    </row>
    <row r="44" spans="1:12" ht="14">
      <c r="A44" s="104">
        <v>212</v>
      </c>
      <c r="B44" s="105" t="s">
        <v>116</v>
      </c>
      <c r="C44" s="104">
        <v>273.57600000000002</v>
      </c>
      <c r="D44" s="104">
        <v>9.7100000000000006E-2</v>
      </c>
    </row>
    <row r="45" spans="1:12" ht="14">
      <c r="A45" s="104">
        <v>287</v>
      </c>
      <c r="B45" s="105" t="s">
        <v>118</v>
      </c>
      <c r="C45" s="104">
        <v>196.06399999999999</v>
      </c>
      <c r="D45" s="104">
        <v>6.9599999999999995E-2</v>
      </c>
    </row>
    <row r="46" spans="1:12" ht="14">
      <c r="A46" s="104">
        <v>398</v>
      </c>
      <c r="B46" s="105" t="s">
        <v>119</v>
      </c>
      <c r="C46" s="104">
        <v>109.557</v>
      </c>
      <c r="D46" s="104">
        <v>3.8899999999999997E-2</v>
      </c>
    </row>
    <row r="47" spans="1:12" ht="14">
      <c r="A47" s="104">
        <v>88</v>
      </c>
      <c r="B47" s="105" t="s">
        <v>120</v>
      </c>
      <c r="C47" s="104">
        <v>701.31500000000005</v>
      </c>
      <c r="D47" s="104">
        <v>0.249</v>
      </c>
    </row>
    <row r="48" spans="1:12" ht="14">
      <c r="A48" s="104">
        <v>125</v>
      </c>
      <c r="B48" s="105" t="s">
        <v>121</v>
      </c>
      <c r="C48" s="104">
        <v>504.11399999999998</v>
      </c>
      <c r="D48" s="104">
        <v>0.1789</v>
      </c>
    </row>
    <row r="49" spans="1:4" ht="14">
      <c r="A49" s="104">
        <v>432</v>
      </c>
      <c r="B49" s="105" t="s">
        <v>122</v>
      </c>
      <c r="C49" s="104">
        <v>92.956000000000003</v>
      </c>
      <c r="D49" s="104">
        <v>3.3000000000000002E-2</v>
      </c>
    </row>
    <row r="50" spans="1:4" ht="14">
      <c r="A50" s="104">
        <v>19</v>
      </c>
      <c r="B50" s="105" t="s">
        <v>124</v>
      </c>
      <c r="C50" s="104">
        <v>2623.12</v>
      </c>
      <c r="D50" s="104">
        <v>0.93120000000000003</v>
      </c>
    </row>
    <row r="51" spans="1:4" ht="14">
      <c r="A51" s="104">
        <v>437</v>
      </c>
      <c r="B51" s="105" t="s">
        <v>127</v>
      </c>
      <c r="C51" s="104">
        <v>88.774000000000001</v>
      </c>
      <c r="D51" s="104">
        <v>3.15E-2</v>
      </c>
    </row>
    <row r="52" spans="1:4" ht="14">
      <c r="A52" s="104">
        <v>436</v>
      </c>
      <c r="B52" s="105" t="s">
        <v>129</v>
      </c>
      <c r="C52" s="104">
        <v>89.210999999999999</v>
      </c>
      <c r="D52" s="104">
        <v>3.1699999999999999E-2</v>
      </c>
    </row>
    <row r="53" spans="1:4" ht="14">
      <c r="A53" s="104">
        <v>416</v>
      </c>
      <c r="B53" s="105" t="s">
        <v>130</v>
      </c>
      <c r="C53" s="104">
        <v>102.32599999999999</v>
      </c>
      <c r="D53" s="104">
        <v>3.6299999999999999E-2</v>
      </c>
    </row>
    <row r="54" spans="1:4" ht="14">
      <c r="A54" s="104">
        <v>219</v>
      </c>
      <c r="B54" s="105" t="s">
        <v>132</v>
      </c>
      <c r="C54" s="104">
        <v>265.58</v>
      </c>
      <c r="D54" s="104">
        <v>9.4299999999999995E-2</v>
      </c>
    </row>
    <row r="55" spans="1:4" ht="14">
      <c r="A55" s="104">
        <v>40</v>
      </c>
      <c r="B55" s="105" t="s">
        <v>133</v>
      </c>
      <c r="C55" s="104">
        <v>1610.056</v>
      </c>
      <c r="D55" s="104">
        <v>0.57150000000000001</v>
      </c>
    </row>
    <row r="56" spans="1:4" ht="14">
      <c r="A56" s="104">
        <v>284</v>
      </c>
      <c r="B56" s="105" t="s">
        <v>135</v>
      </c>
      <c r="C56" s="104">
        <v>200.55</v>
      </c>
      <c r="D56" s="104">
        <v>7.1199999999999999E-2</v>
      </c>
    </row>
    <row r="57" spans="1:4" ht="14">
      <c r="A57" s="104">
        <v>362</v>
      </c>
      <c r="B57" s="105" t="s">
        <v>137</v>
      </c>
      <c r="C57" s="104">
        <v>131.631</v>
      </c>
      <c r="D57" s="104">
        <v>4.6699999999999998E-2</v>
      </c>
    </row>
    <row r="58" spans="1:4" ht="14">
      <c r="A58" s="104">
        <v>409</v>
      </c>
      <c r="B58" s="105" t="s">
        <v>138</v>
      </c>
      <c r="C58" s="104">
        <v>105.35299999999999</v>
      </c>
      <c r="D58" s="104">
        <v>3.7400000000000003E-2</v>
      </c>
    </row>
    <row r="59" spans="1:4" ht="14">
      <c r="A59" s="104">
        <v>85</v>
      </c>
      <c r="B59" s="105" t="s">
        <v>140</v>
      </c>
      <c r="C59" s="104">
        <v>752.18700000000001</v>
      </c>
      <c r="D59" s="104">
        <v>0.26700000000000002</v>
      </c>
    </row>
    <row r="60" spans="1:4" ht="14">
      <c r="A60" s="104">
        <v>17</v>
      </c>
      <c r="B60" s="105" t="s">
        <v>141</v>
      </c>
      <c r="C60" s="104">
        <v>3047.1129999999998</v>
      </c>
      <c r="D60" s="104">
        <v>1.0817000000000001</v>
      </c>
    </row>
    <row r="61" spans="1:4" ht="14">
      <c r="A61" s="104">
        <v>24</v>
      </c>
      <c r="B61" s="105" t="s">
        <v>142</v>
      </c>
      <c r="C61" s="104">
        <v>2373.174</v>
      </c>
      <c r="D61" s="104">
        <v>0.84240000000000004</v>
      </c>
    </row>
    <row r="62" spans="1:4" ht="14">
      <c r="A62" s="104">
        <v>9</v>
      </c>
      <c r="B62" s="105" t="s">
        <v>144</v>
      </c>
      <c r="C62" s="104">
        <v>3736.1579999999999</v>
      </c>
      <c r="D62" s="104">
        <v>1.3263</v>
      </c>
    </row>
    <row r="63" spans="1:4" ht="14">
      <c r="A63" s="104">
        <v>491</v>
      </c>
      <c r="B63" s="105" t="s">
        <v>145</v>
      </c>
      <c r="C63" s="104">
        <v>43.781999999999996</v>
      </c>
      <c r="D63" s="104">
        <v>1.55E-2</v>
      </c>
    </row>
    <row r="64" spans="1:4" ht="14">
      <c r="A64" s="104">
        <v>279</v>
      </c>
      <c r="B64" s="105" t="s">
        <v>147</v>
      </c>
      <c r="C64" s="104">
        <v>204.05500000000001</v>
      </c>
      <c r="D64" s="104">
        <v>7.2400000000000006E-2</v>
      </c>
    </row>
    <row r="65" spans="1:4" ht="14">
      <c r="A65" s="104">
        <v>223</v>
      </c>
      <c r="B65" s="105" t="s">
        <v>149</v>
      </c>
      <c r="C65" s="104">
        <v>261.303</v>
      </c>
      <c r="D65" s="104">
        <v>9.2799999999999994E-2</v>
      </c>
    </row>
    <row r="66" spans="1:4" ht="14">
      <c r="A66" s="104">
        <v>292</v>
      </c>
      <c r="B66" s="105" t="s">
        <v>152</v>
      </c>
      <c r="C66" s="104">
        <v>189.16</v>
      </c>
      <c r="D66" s="104">
        <v>6.7100000000000007E-2</v>
      </c>
    </row>
    <row r="67" spans="1:4" ht="14">
      <c r="A67" s="104">
        <v>38</v>
      </c>
      <c r="B67" s="105" t="s">
        <v>65</v>
      </c>
      <c r="C67" s="104">
        <v>1680.1679999999999</v>
      </c>
      <c r="D67" s="104">
        <v>0.59640000000000004</v>
      </c>
    </row>
    <row r="68" spans="1:4" ht="14">
      <c r="A68" s="104">
        <v>352</v>
      </c>
      <c r="B68" s="105" t="s">
        <v>153</v>
      </c>
      <c r="C68" s="104">
        <v>138.06899999999999</v>
      </c>
      <c r="D68" s="104">
        <v>4.9000000000000002E-2</v>
      </c>
    </row>
    <row r="69" spans="1:4" ht="14">
      <c r="A69" s="104">
        <v>55</v>
      </c>
      <c r="B69" s="105" t="s">
        <v>154</v>
      </c>
      <c r="C69" s="104">
        <v>1207.9159999999999</v>
      </c>
      <c r="D69" s="104">
        <v>0.42880000000000001</v>
      </c>
    </row>
    <row r="70" spans="1:4" ht="14">
      <c r="A70" s="104">
        <v>113</v>
      </c>
      <c r="B70" s="105" t="s">
        <v>156</v>
      </c>
      <c r="C70" s="104">
        <v>537.99400000000003</v>
      </c>
      <c r="D70" s="104">
        <v>0.191</v>
      </c>
    </row>
    <row r="71" spans="1:4" ht="14">
      <c r="A71" s="104">
        <v>258</v>
      </c>
      <c r="B71" s="105" t="s">
        <v>158</v>
      </c>
      <c r="C71" s="104">
        <v>224.80099999999999</v>
      </c>
      <c r="D71" s="104">
        <v>7.9799999999999996E-2</v>
      </c>
    </row>
    <row r="72" spans="1:4" ht="14">
      <c r="A72" s="104">
        <v>209</v>
      </c>
      <c r="B72" s="105" t="s">
        <v>159</v>
      </c>
      <c r="C72" s="104">
        <v>276.16199999999998</v>
      </c>
      <c r="D72" s="104">
        <v>9.8000000000000004E-2</v>
      </c>
    </row>
    <row r="73" spans="1:4" ht="14">
      <c r="A73" s="104">
        <v>478</v>
      </c>
      <c r="B73" s="105" t="s">
        <v>161</v>
      </c>
      <c r="C73" s="104">
        <v>60.808999999999997</v>
      </c>
      <c r="D73" s="104">
        <v>2.1600000000000001E-2</v>
      </c>
    </row>
    <row r="74" spans="1:4" ht="14">
      <c r="A74" s="104">
        <v>263</v>
      </c>
      <c r="B74" s="105" t="s">
        <v>163</v>
      </c>
      <c r="C74" s="104">
        <v>220.71899999999999</v>
      </c>
      <c r="D74" s="104">
        <v>7.8399999999999997E-2</v>
      </c>
    </row>
    <row r="75" spans="1:4" ht="14">
      <c r="A75" s="104">
        <v>256</v>
      </c>
      <c r="B75" s="105" t="s">
        <v>164</v>
      </c>
      <c r="C75" s="104">
        <v>226.202</v>
      </c>
      <c r="D75" s="104">
        <v>8.0299999999999996E-2</v>
      </c>
    </row>
    <row r="76" spans="1:4" ht="14">
      <c r="A76" s="104">
        <v>68</v>
      </c>
      <c r="B76" s="105" t="s">
        <v>165</v>
      </c>
      <c r="C76" s="104">
        <v>944.05799999999999</v>
      </c>
      <c r="D76" s="104">
        <v>0.33510000000000001</v>
      </c>
    </row>
    <row r="77" spans="1:4" ht="14">
      <c r="A77" s="104">
        <v>237</v>
      </c>
      <c r="B77" s="105" t="s">
        <v>167</v>
      </c>
      <c r="C77" s="104">
        <v>247.047</v>
      </c>
      <c r="D77" s="104">
        <v>8.77E-2</v>
      </c>
    </row>
    <row r="78" spans="1:4" ht="14">
      <c r="A78" s="104">
        <v>70</v>
      </c>
      <c r="B78" s="105" t="s">
        <v>168</v>
      </c>
      <c r="C78" s="104">
        <v>933.62800000000004</v>
      </c>
      <c r="D78" s="104">
        <v>0.33139999999999997</v>
      </c>
    </row>
    <row r="79" spans="1:4" ht="14">
      <c r="A79" s="104">
        <v>231</v>
      </c>
      <c r="B79" s="105" t="s">
        <v>169</v>
      </c>
      <c r="C79" s="104">
        <v>253.70400000000001</v>
      </c>
      <c r="D79" s="104">
        <v>9.01E-2</v>
      </c>
    </row>
    <row r="80" spans="1:4" ht="14">
      <c r="A80" s="104">
        <v>12</v>
      </c>
      <c r="B80" s="105" t="s">
        <v>172</v>
      </c>
      <c r="C80" s="104">
        <v>3526.2530000000002</v>
      </c>
      <c r="D80" s="104">
        <v>1.2517</v>
      </c>
    </row>
    <row r="81" spans="1:4" ht="14">
      <c r="A81" s="104">
        <v>365</v>
      </c>
      <c r="B81" s="105" t="s">
        <v>173</v>
      </c>
      <c r="C81" s="104">
        <v>130.78899999999999</v>
      </c>
      <c r="D81" s="104">
        <v>4.6399999999999997E-2</v>
      </c>
    </row>
    <row r="82" spans="1:4" ht="14">
      <c r="A82" s="104">
        <v>444</v>
      </c>
      <c r="B82" s="105" t="s">
        <v>175</v>
      </c>
      <c r="C82" s="104">
        <v>82.292000000000002</v>
      </c>
      <c r="D82" s="104">
        <v>2.92E-2</v>
      </c>
    </row>
    <row r="83" spans="1:4" ht="14">
      <c r="A83" s="104">
        <v>115</v>
      </c>
      <c r="B83" s="105" t="s">
        <v>177</v>
      </c>
      <c r="C83" s="104">
        <v>526.85</v>
      </c>
      <c r="D83" s="104">
        <v>0.187</v>
      </c>
    </row>
    <row r="84" spans="1:4" ht="14">
      <c r="A84" s="104">
        <v>422</v>
      </c>
      <c r="B84" s="105" t="s">
        <v>179</v>
      </c>
      <c r="C84" s="104">
        <v>98.29</v>
      </c>
      <c r="D84" s="104">
        <v>3.49E-2</v>
      </c>
    </row>
    <row r="85" spans="1:4" ht="14">
      <c r="A85" s="104">
        <v>63</v>
      </c>
      <c r="B85" s="105" t="s">
        <v>180</v>
      </c>
      <c r="C85" s="104">
        <v>1007.796</v>
      </c>
      <c r="D85" s="104">
        <v>0.35770000000000002</v>
      </c>
    </row>
    <row r="86" spans="1:4" ht="14">
      <c r="A86" s="104">
        <v>82</v>
      </c>
      <c r="B86" s="105" t="s">
        <v>182</v>
      </c>
      <c r="C86" s="104">
        <v>783.62400000000002</v>
      </c>
      <c r="D86" s="104">
        <v>0.2782</v>
      </c>
    </row>
    <row r="87" spans="1:4" ht="14">
      <c r="A87" s="104">
        <v>297</v>
      </c>
      <c r="B87" s="105" t="s">
        <v>184</v>
      </c>
      <c r="C87" s="104">
        <v>183.12</v>
      </c>
      <c r="D87" s="104">
        <v>6.5000000000000002E-2</v>
      </c>
    </row>
    <row r="88" spans="1:4" ht="14">
      <c r="A88" s="104">
        <v>461</v>
      </c>
      <c r="B88" s="105" t="s">
        <v>186</v>
      </c>
      <c r="C88" s="104">
        <v>73.966999999999999</v>
      </c>
      <c r="D88" s="104">
        <v>2.63E-2</v>
      </c>
    </row>
    <row r="89" spans="1:4" ht="14">
      <c r="A89" s="104">
        <v>151</v>
      </c>
      <c r="B89" s="105" t="s">
        <v>188</v>
      </c>
      <c r="C89" s="104">
        <v>412.88900000000001</v>
      </c>
      <c r="D89" s="104">
        <v>0.14660000000000001</v>
      </c>
    </row>
    <row r="90" spans="1:4" ht="14">
      <c r="A90" s="104">
        <v>195</v>
      </c>
      <c r="B90" s="105" t="s">
        <v>190</v>
      </c>
      <c r="C90" s="104">
        <v>294.45600000000002</v>
      </c>
      <c r="D90" s="104">
        <v>0.1045</v>
      </c>
    </row>
    <row r="91" spans="1:4" ht="14">
      <c r="A91" s="104">
        <v>95</v>
      </c>
      <c r="B91" s="105" t="s">
        <v>36</v>
      </c>
      <c r="C91" s="104">
        <v>665.22900000000004</v>
      </c>
      <c r="D91" s="104">
        <v>0.2361</v>
      </c>
    </row>
    <row r="92" spans="1:4" ht="14">
      <c r="A92" s="104">
        <v>252</v>
      </c>
      <c r="B92" s="105" t="s">
        <v>193</v>
      </c>
      <c r="C92" s="104">
        <v>230.68</v>
      </c>
      <c r="D92" s="104">
        <v>8.1900000000000001E-2</v>
      </c>
    </row>
    <row r="93" spans="1:4" ht="14">
      <c r="A93" s="104">
        <v>443</v>
      </c>
      <c r="B93" s="105" t="s">
        <v>195</v>
      </c>
      <c r="C93" s="104">
        <v>83.155000000000001</v>
      </c>
      <c r="D93" s="104">
        <v>2.9499999999999998E-2</v>
      </c>
    </row>
    <row r="94" spans="1:4" ht="14">
      <c r="A94" s="104">
        <v>213</v>
      </c>
      <c r="B94" s="105" t="s">
        <v>197</v>
      </c>
      <c r="C94" s="104">
        <v>272.041</v>
      </c>
      <c r="D94" s="104">
        <v>9.6600000000000005E-2</v>
      </c>
    </row>
    <row r="95" spans="1:4" ht="14">
      <c r="A95" s="104">
        <v>250</v>
      </c>
      <c r="B95" s="105" t="s">
        <v>199</v>
      </c>
      <c r="C95" s="104">
        <v>235.863</v>
      </c>
      <c r="D95" s="104">
        <v>8.3699999999999997E-2</v>
      </c>
    </row>
    <row r="96" spans="1:4" ht="14">
      <c r="A96" s="104">
        <v>108</v>
      </c>
      <c r="B96" s="105" t="s">
        <v>201</v>
      </c>
      <c r="C96" s="104">
        <v>583.18399999999997</v>
      </c>
      <c r="D96" s="104">
        <v>0.20699999999999999</v>
      </c>
    </row>
    <row r="97" spans="1:4" ht="14">
      <c r="A97" s="104">
        <v>39</v>
      </c>
      <c r="B97" s="105" t="s">
        <v>62</v>
      </c>
      <c r="C97" s="104">
        <v>1652.3779999999999</v>
      </c>
      <c r="D97" s="104">
        <v>0.58660000000000001</v>
      </c>
    </row>
    <row r="98" spans="1:4" ht="14">
      <c r="A98" s="104">
        <v>358</v>
      </c>
      <c r="B98" s="105" t="s">
        <v>203</v>
      </c>
      <c r="C98" s="104">
        <v>134.22999999999999</v>
      </c>
      <c r="D98" s="104">
        <v>4.7600000000000003E-2</v>
      </c>
    </row>
    <row r="99" spans="1:4" ht="14">
      <c r="A99" s="104">
        <v>138</v>
      </c>
      <c r="B99" s="105" t="s">
        <v>205</v>
      </c>
      <c r="C99" s="104">
        <v>451.69900000000001</v>
      </c>
      <c r="D99" s="104">
        <v>0.1603</v>
      </c>
    </row>
    <row r="100" spans="1:4" ht="14">
      <c r="A100" s="104">
        <v>326</v>
      </c>
      <c r="B100" s="105" t="s">
        <v>207</v>
      </c>
      <c r="C100" s="104">
        <v>158.02500000000001</v>
      </c>
      <c r="D100" s="104">
        <v>5.6099999999999997E-2</v>
      </c>
    </row>
    <row r="101" spans="1:4" ht="14">
      <c r="A101" s="104">
        <v>179</v>
      </c>
      <c r="B101" s="105" t="s">
        <v>208</v>
      </c>
      <c r="C101" s="104">
        <v>324.90800000000002</v>
      </c>
      <c r="D101" s="104">
        <v>0.1153</v>
      </c>
    </row>
    <row r="102" spans="1:4" ht="14">
      <c r="A102" s="104">
        <v>463</v>
      </c>
      <c r="B102" s="105" t="s">
        <v>209</v>
      </c>
      <c r="C102" s="104">
        <v>73.438000000000002</v>
      </c>
      <c r="D102" s="104">
        <v>2.6100000000000002E-2</v>
      </c>
    </row>
    <row r="103" spans="1:4" ht="14">
      <c r="A103" s="104">
        <v>306</v>
      </c>
      <c r="B103" s="105" t="s">
        <v>150</v>
      </c>
      <c r="C103" s="104">
        <v>176.643</v>
      </c>
      <c r="D103" s="104">
        <v>6.2700000000000006E-2</v>
      </c>
    </row>
    <row r="104" spans="1:4" ht="14">
      <c r="A104" s="104">
        <v>90</v>
      </c>
      <c r="B104" s="105" t="s">
        <v>210</v>
      </c>
      <c r="C104" s="104">
        <v>684.24699999999996</v>
      </c>
      <c r="D104" s="104">
        <v>0.2429</v>
      </c>
    </row>
    <row r="105" spans="1:4" ht="14">
      <c r="A105" s="104">
        <v>269</v>
      </c>
      <c r="B105" s="105" t="s">
        <v>211</v>
      </c>
      <c r="C105" s="104">
        <v>217.36199999999999</v>
      </c>
      <c r="D105" s="104">
        <v>7.7200000000000005E-2</v>
      </c>
    </row>
    <row r="106" spans="1:4" ht="14">
      <c r="A106" s="104">
        <v>286</v>
      </c>
      <c r="B106" s="105" t="s">
        <v>213</v>
      </c>
      <c r="C106" s="104">
        <v>198.74799999999999</v>
      </c>
      <c r="D106" s="104">
        <v>7.0599999999999996E-2</v>
      </c>
    </row>
    <row r="107" spans="1:4" ht="14">
      <c r="A107" s="104">
        <v>152</v>
      </c>
      <c r="B107" s="105" t="s">
        <v>215</v>
      </c>
      <c r="C107" s="104">
        <v>397.17899999999997</v>
      </c>
      <c r="D107" s="104">
        <v>0.14099999999999999</v>
      </c>
    </row>
    <row r="108" spans="1:4" ht="14">
      <c r="A108" s="104">
        <v>283</v>
      </c>
      <c r="B108" s="105" t="s">
        <v>216</v>
      </c>
      <c r="C108" s="104">
        <v>202.387</v>
      </c>
      <c r="D108" s="104">
        <v>7.1800000000000003E-2</v>
      </c>
    </row>
    <row r="109" spans="1:4" ht="14">
      <c r="A109" s="104">
        <v>264</v>
      </c>
      <c r="B109" s="105" t="s">
        <v>218</v>
      </c>
      <c r="C109" s="104">
        <v>220.471</v>
      </c>
      <c r="D109" s="104">
        <v>7.8299999999999995E-2</v>
      </c>
    </row>
    <row r="110" spans="1:4" ht="14">
      <c r="A110" s="104">
        <v>241</v>
      </c>
      <c r="B110" s="105" t="s">
        <v>220</v>
      </c>
      <c r="C110" s="104">
        <v>243.42</v>
      </c>
      <c r="D110" s="104">
        <v>8.6400000000000005E-2</v>
      </c>
    </row>
    <row r="111" spans="1:4" ht="14">
      <c r="A111" s="104">
        <v>210</v>
      </c>
      <c r="B111" s="105" t="s">
        <v>222</v>
      </c>
      <c r="C111" s="104">
        <v>274.35000000000002</v>
      </c>
      <c r="D111" s="104">
        <v>9.74E-2</v>
      </c>
    </row>
    <row r="112" spans="1:4" ht="14">
      <c r="A112" s="104">
        <v>483</v>
      </c>
      <c r="B112" s="105" t="s">
        <v>224</v>
      </c>
      <c r="C112" s="104">
        <v>58.033999999999999</v>
      </c>
      <c r="D112" s="104">
        <v>2.06E-2</v>
      </c>
    </row>
    <row r="113" spans="1:4" ht="14">
      <c r="A113" s="104">
        <v>203</v>
      </c>
      <c r="B113" s="105" t="s">
        <v>226</v>
      </c>
      <c r="C113" s="104">
        <v>286.29500000000002</v>
      </c>
      <c r="D113" s="104">
        <v>0.1016</v>
      </c>
    </row>
    <row r="114" spans="1:4" ht="14">
      <c r="A114" s="104">
        <v>135</v>
      </c>
      <c r="B114" s="105" t="s">
        <v>228</v>
      </c>
      <c r="C114" s="104">
        <v>465.19200000000001</v>
      </c>
      <c r="D114" s="104">
        <v>0.1651</v>
      </c>
    </row>
    <row r="115" spans="1:4" ht="14">
      <c r="A115" s="104">
        <v>280</v>
      </c>
      <c r="B115" s="105" t="s">
        <v>229</v>
      </c>
      <c r="C115" s="104">
        <v>203.614</v>
      </c>
      <c r="D115" s="104">
        <v>7.2300000000000003E-2</v>
      </c>
    </row>
    <row r="116" spans="1:4" ht="14">
      <c r="A116" s="104">
        <v>395</v>
      </c>
      <c r="B116" s="105" t="s">
        <v>230</v>
      </c>
      <c r="C116" s="104">
        <v>112.43899999999999</v>
      </c>
      <c r="D116" s="104">
        <v>3.9899999999999998E-2</v>
      </c>
    </row>
    <row r="117" spans="1:4" ht="14">
      <c r="A117" s="104">
        <v>208</v>
      </c>
      <c r="B117" s="105" t="s">
        <v>232</v>
      </c>
      <c r="C117" s="104">
        <v>277.637</v>
      </c>
      <c r="D117" s="104">
        <v>9.8599999999999993E-2</v>
      </c>
    </row>
    <row r="118" spans="1:4" ht="14">
      <c r="A118" s="104">
        <v>322</v>
      </c>
      <c r="B118" s="105" t="s">
        <v>234</v>
      </c>
      <c r="C118" s="104">
        <v>163.684</v>
      </c>
      <c r="D118" s="104">
        <v>5.8099999999999999E-2</v>
      </c>
    </row>
    <row r="119" spans="1:4" ht="14">
      <c r="A119" s="104">
        <v>128</v>
      </c>
      <c r="B119" s="105" t="s">
        <v>235</v>
      </c>
      <c r="C119" s="104">
        <v>492.303</v>
      </c>
      <c r="D119" s="104">
        <v>0.17480000000000001</v>
      </c>
    </row>
    <row r="120" spans="1:4" ht="14">
      <c r="A120" s="104">
        <v>406</v>
      </c>
      <c r="B120" s="105" t="s">
        <v>236</v>
      </c>
      <c r="C120" s="104">
        <v>105.447</v>
      </c>
      <c r="D120" s="104">
        <v>3.7400000000000003E-2</v>
      </c>
    </row>
    <row r="121" spans="1:4" ht="14">
      <c r="A121" s="104">
        <v>309</v>
      </c>
      <c r="B121" s="105" t="s">
        <v>238</v>
      </c>
      <c r="C121" s="104">
        <v>173.20699999999999</v>
      </c>
      <c r="D121" s="104">
        <v>6.1499999999999999E-2</v>
      </c>
    </row>
    <row r="122" spans="1:4" ht="14">
      <c r="A122" s="104">
        <v>146</v>
      </c>
      <c r="B122" s="105" t="s">
        <v>240</v>
      </c>
      <c r="C122" s="104">
        <v>421.49299999999999</v>
      </c>
      <c r="D122" s="104">
        <v>0.14960000000000001</v>
      </c>
    </row>
    <row r="123" spans="1:4" ht="14">
      <c r="A123" s="104">
        <v>156</v>
      </c>
      <c r="B123" s="105" t="s">
        <v>242</v>
      </c>
      <c r="C123" s="104">
        <v>363.59699999999998</v>
      </c>
      <c r="D123" s="104">
        <v>0.12909999999999999</v>
      </c>
    </row>
    <row r="124" spans="1:4" ht="14">
      <c r="A124" s="104">
        <v>91</v>
      </c>
      <c r="B124" s="105" t="s">
        <v>243</v>
      </c>
      <c r="C124" s="104">
        <v>682.13800000000003</v>
      </c>
      <c r="D124" s="104">
        <v>0.24210000000000001</v>
      </c>
    </row>
    <row r="125" spans="1:4" ht="14">
      <c r="A125" s="104">
        <v>425</v>
      </c>
      <c r="B125" s="105" t="s">
        <v>245</v>
      </c>
      <c r="C125" s="104">
        <v>97.076999999999998</v>
      </c>
      <c r="D125" s="104">
        <v>3.4500000000000003E-2</v>
      </c>
    </row>
    <row r="126" spans="1:4" ht="14">
      <c r="A126" s="104">
        <v>48</v>
      </c>
      <c r="B126" s="105" t="s">
        <v>42</v>
      </c>
      <c r="C126" s="104">
        <v>1358.818</v>
      </c>
      <c r="D126" s="104">
        <v>0.4824</v>
      </c>
    </row>
    <row r="127" spans="1:4" ht="14">
      <c r="A127" s="104">
        <v>320</v>
      </c>
      <c r="B127" s="105" t="s">
        <v>247</v>
      </c>
      <c r="C127" s="104">
        <v>166.88300000000001</v>
      </c>
      <c r="D127" s="104">
        <v>5.9200000000000003E-2</v>
      </c>
    </row>
    <row r="128" spans="1:4" ht="14">
      <c r="A128" s="104">
        <v>332</v>
      </c>
      <c r="B128" s="105" t="s">
        <v>249</v>
      </c>
      <c r="C128" s="104">
        <v>154.964</v>
      </c>
      <c r="D128" s="104">
        <v>5.5E-2</v>
      </c>
    </row>
    <row r="129" spans="1:4" ht="14">
      <c r="A129" s="104">
        <v>308</v>
      </c>
      <c r="B129" s="105" t="s">
        <v>251</v>
      </c>
      <c r="C129" s="104">
        <v>174.73400000000001</v>
      </c>
      <c r="D129" s="104">
        <v>6.2E-2</v>
      </c>
    </row>
    <row r="130" spans="1:4" ht="14">
      <c r="A130" s="104">
        <v>159</v>
      </c>
      <c r="B130" s="105" t="s">
        <v>252</v>
      </c>
      <c r="C130" s="104">
        <v>360.851</v>
      </c>
      <c r="D130" s="104">
        <v>0.12809999999999999</v>
      </c>
    </row>
    <row r="131" spans="1:4" ht="14">
      <c r="A131" s="104">
        <v>268</v>
      </c>
      <c r="B131" s="105" t="s">
        <v>253</v>
      </c>
      <c r="C131" s="104">
        <v>217.363</v>
      </c>
      <c r="D131" s="104">
        <v>7.7200000000000005E-2</v>
      </c>
    </row>
    <row r="132" spans="1:4" ht="14">
      <c r="A132" s="104">
        <v>105</v>
      </c>
      <c r="B132" s="105" t="s">
        <v>254</v>
      </c>
      <c r="C132" s="104">
        <v>601.16999999999996</v>
      </c>
      <c r="D132" s="104">
        <v>0.21340000000000001</v>
      </c>
    </row>
    <row r="133" spans="1:4" ht="14">
      <c r="A133" s="104">
        <v>257</v>
      </c>
      <c r="B133" s="105" t="s">
        <v>255</v>
      </c>
      <c r="C133" s="104">
        <v>226.072</v>
      </c>
      <c r="D133" s="104">
        <v>8.0299999999999996E-2</v>
      </c>
    </row>
    <row r="134" spans="1:4" ht="14">
      <c r="A134" s="104">
        <v>470</v>
      </c>
      <c r="B134" s="105" t="s">
        <v>257</v>
      </c>
      <c r="C134" s="104">
        <v>65.152000000000001</v>
      </c>
      <c r="D134" s="104">
        <v>2.3099999999999999E-2</v>
      </c>
    </row>
    <row r="135" spans="1:4" ht="14">
      <c r="A135" s="104">
        <v>359</v>
      </c>
      <c r="B135" s="105" t="s">
        <v>258</v>
      </c>
      <c r="C135" s="104">
        <v>133.535</v>
      </c>
      <c r="D135" s="104">
        <v>4.7399999999999998E-2</v>
      </c>
    </row>
    <row r="136" spans="1:4" ht="14">
      <c r="A136" s="104">
        <v>49</v>
      </c>
      <c r="B136" s="105" t="s">
        <v>260</v>
      </c>
      <c r="C136" s="104">
        <v>1355.1949999999999</v>
      </c>
      <c r="D136" s="104">
        <v>0.48110000000000003</v>
      </c>
    </row>
    <row r="137" spans="1:4" ht="14">
      <c r="A137" s="104">
        <v>5</v>
      </c>
      <c r="B137" s="105" t="s">
        <v>261</v>
      </c>
      <c r="C137" s="104">
        <v>5194.0510000000004</v>
      </c>
      <c r="D137" s="104">
        <v>1.8438000000000001</v>
      </c>
    </row>
    <row r="138" spans="1:4" ht="14">
      <c r="A138" s="104">
        <v>453</v>
      </c>
      <c r="B138" s="105" t="s">
        <v>262</v>
      </c>
      <c r="C138" s="104">
        <v>78.218999999999994</v>
      </c>
      <c r="D138" s="104">
        <v>2.7799999999999998E-2</v>
      </c>
    </row>
    <row r="139" spans="1:4" ht="14">
      <c r="A139" s="104">
        <v>390</v>
      </c>
      <c r="B139" s="105" t="s">
        <v>264</v>
      </c>
      <c r="C139" s="104">
        <v>114.149</v>
      </c>
      <c r="D139" s="104">
        <v>4.0500000000000001E-2</v>
      </c>
    </row>
    <row r="140" spans="1:4" ht="14">
      <c r="A140" s="104">
        <v>229</v>
      </c>
      <c r="B140" s="105" t="s">
        <v>265</v>
      </c>
      <c r="C140" s="104">
        <v>255.733</v>
      </c>
      <c r="D140" s="104">
        <v>9.0800000000000006E-2</v>
      </c>
    </row>
    <row r="141" spans="1:4" ht="14">
      <c r="A141" s="104">
        <v>401</v>
      </c>
      <c r="B141" s="105" t="s">
        <v>266</v>
      </c>
      <c r="C141" s="104">
        <v>107.976</v>
      </c>
      <c r="D141" s="104">
        <v>3.8300000000000001E-2</v>
      </c>
    </row>
    <row r="142" spans="1:4" ht="14">
      <c r="A142" s="104">
        <v>120</v>
      </c>
      <c r="B142" s="105" t="s">
        <v>269</v>
      </c>
      <c r="C142" s="104">
        <v>509.61399999999998</v>
      </c>
      <c r="D142" s="104">
        <v>0.18090000000000001</v>
      </c>
    </row>
    <row r="143" spans="1:4" ht="14">
      <c r="A143" s="104">
        <v>349</v>
      </c>
      <c r="B143" s="105" t="s">
        <v>271</v>
      </c>
      <c r="C143" s="104">
        <v>140.006</v>
      </c>
      <c r="D143" s="104">
        <v>4.9700000000000001E-2</v>
      </c>
    </row>
    <row r="144" spans="1:4" ht="14">
      <c r="A144" s="104">
        <v>14</v>
      </c>
      <c r="B144" s="105" t="s">
        <v>273</v>
      </c>
      <c r="C144" s="104">
        <v>3348.4470000000001</v>
      </c>
      <c r="D144" s="104">
        <v>1.1886000000000001</v>
      </c>
    </row>
    <row r="145" spans="1:4" ht="14">
      <c r="A145" s="104">
        <v>465</v>
      </c>
      <c r="B145" s="105" t="s">
        <v>274</v>
      </c>
      <c r="C145" s="104">
        <v>71.191000000000003</v>
      </c>
      <c r="D145" s="104">
        <v>2.53E-2</v>
      </c>
    </row>
    <row r="146" spans="1:4" ht="14">
      <c r="A146" s="104">
        <v>380</v>
      </c>
      <c r="B146" s="105" t="s">
        <v>275</v>
      </c>
      <c r="C146" s="104">
        <v>119.91200000000001</v>
      </c>
      <c r="D146" s="104">
        <v>4.2599999999999999E-2</v>
      </c>
    </row>
    <row r="147" spans="1:4" ht="14">
      <c r="A147" s="104">
        <v>110</v>
      </c>
      <c r="B147" s="105" t="s">
        <v>277</v>
      </c>
      <c r="C147" s="104">
        <v>552.98599999999999</v>
      </c>
      <c r="D147" s="104">
        <v>0.1963</v>
      </c>
    </row>
    <row r="148" spans="1:4" ht="14">
      <c r="A148" s="104">
        <v>334</v>
      </c>
      <c r="B148" s="105" t="s">
        <v>279</v>
      </c>
      <c r="C148" s="104">
        <v>152.506</v>
      </c>
      <c r="D148" s="104">
        <v>5.4100000000000002E-2</v>
      </c>
    </row>
    <row r="149" spans="1:4" ht="14">
      <c r="A149" s="104">
        <v>142</v>
      </c>
      <c r="B149" s="105" t="s">
        <v>70</v>
      </c>
      <c r="C149" s="104">
        <v>429.20400000000001</v>
      </c>
      <c r="D149" s="104">
        <v>0.15240000000000001</v>
      </c>
    </row>
    <row r="150" spans="1:4" ht="14">
      <c r="A150" s="104">
        <v>245</v>
      </c>
      <c r="B150" s="105" t="s">
        <v>281</v>
      </c>
      <c r="C150" s="104">
        <v>238.55799999999999</v>
      </c>
      <c r="D150" s="104">
        <v>8.4699999999999998E-2</v>
      </c>
    </row>
    <row r="151" spans="1:4" ht="14">
      <c r="A151" s="104">
        <v>204</v>
      </c>
      <c r="B151" s="105" t="s">
        <v>282</v>
      </c>
      <c r="C151" s="104">
        <v>285.67700000000002</v>
      </c>
      <c r="D151" s="104">
        <v>0.1014</v>
      </c>
    </row>
    <row r="152" spans="1:4" ht="14">
      <c r="A152" s="104">
        <v>161</v>
      </c>
      <c r="B152" s="105" t="s">
        <v>284</v>
      </c>
      <c r="C152" s="104">
        <v>357.18099999999998</v>
      </c>
      <c r="D152" s="104">
        <v>0.1268</v>
      </c>
    </row>
    <row r="153" spans="1:4" ht="14">
      <c r="A153" s="104">
        <v>76</v>
      </c>
      <c r="B153" s="105" t="s">
        <v>285</v>
      </c>
      <c r="C153" s="104">
        <v>829.58699999999999</v>
      </c>
      <c r="D153" s="104">
        <v>0.29449999999999998</v>
      </c>
    </row>
    <row r="154" spans="1:4" ht="14">
      <c r="A154" s="104">
        <v>338</v>
      </c>
      <c r="B154" s="105" t="s">
        <v>286</v>
      </c>
      <c r="C154" s="104">
        <v>148.90899999999999</v>
      </c>
      <c r="D154" s="104">
        <v>5.2900000000000003E-2</v>
      </c>
    </row>
    <row r="155" spans="1:4" ht="14">
      <c r="A155" s="104">
        <v>81</v>
      </c>
      <c r="B155" s="105" t="s">
        <v>287</v>
      </c>
      <c r="C155" s="104">
        <v>783.64200000000005</v>
      </c>
      <c r="D155" s="104">
        <v>0.2782</v>
      </c>
    </row>
    <row r="156" spans="1:4" ht="14">
      <c r="A156" s="104">
        <v>417</v>
      </c>
      <c r="B156" s="105" t="s">
        <v>289</v>
      </c>
      <c r="C156" s="104">
        <v>99.757000000000005</v>
      </c>
      <c r="D156" s="104">
        <v>3.5400000000000001E-2</v>
      </c>
    </row>
    <row r="157" spans="1:4" ht="14">
      <c r="A157" s="104">
        <v>486</v>
      </c>
      <c r="B157" s="105" t="s">
        <v>291</v>
      </c>
      <c r="C157" s="104">
        <v>52.076000000000001</v>
      </c>
      <c r="D157" s="104">
        <v>1.8499999999999999E-2</v>
      </c>
    </row>
    <row r="158" spans="1:4" ht="14">
      <c r="A158" s="104">
        <v>497</v>
      </c>
      <c r="B158" s="105" t="s">
        <v>292</v>
      </c>
      <c r="C158" s="104">
        <v>27.675999999999998</v>
      </c>
      <c r="D158" s="104">
        <v>9.7999999999999997E-3</v>
      </c>
    </row>
    <row r="159" spans="1:4" ht="14">
      <c r="A159" s="104">
        <v>296</v>
      </c>
      <c r="B159" s="105" t="s">
        <v>294</v>
      </c>
      <c r="C159" s="104">
        <v>184.267</v>
      </c>
      <c r="D159" s="104">
        <v>6.54E-2</v>
      </c>
    </row>
    <row r="160" spans="1:4" ht="14">
      <c r="A160" s="104">
        <v>206</v>
      </c>
      <c r="B160" s="105" t="s">
        <v>296</v>
      </c>
      <c r="C160" s="104">
        <v>281.613</v>
      </c>
      <c r="D160" s="104">
        <v>0.1</v>
      </c>
    </row>
    <row r="161" spans="1:4" ht="14">
      <c r="A161" s="104">
        <v>149</v>
      </c>
      <c r="B161" s="105" t="s">
        <v>297</v>
      </c>
      <c r="C161" s="104">
        <v>418.06900000000002</v>
      </c>
      <c r="D161" s="104">
        <v>0.1484</v>
      </c>
    </row>
    <row r="162" spans="1:4" ht="14">
      <c r="A162" s="104">
        <v>357</v>
      </c>
      <c r="B162" s="105" t="s">
        <v>298</v>
      </c>
      <c r="C162" s="104">
        <v>134.29499999999999</v>
      </c>
      <c r="D162" s="104">
        <v>4.7699999999999999E-2</v>
      </c>
    </row>
    <row r="163" spans="1:4" ht="14">
      <c r="A163" s="104">
        <v>158</v>
      </c>
      <c r="B163" s="105" t="s">
        <v>299</v>
      </c>
      <c r="C163" s="104">
        <v>361.483</v>
      </c>
      <c r="D163" s="104">
        <v>0.1283</v>
      </c>
    </row>
    <row r="164" spans="1:4" ht="14">
      <c r="A164" s="104">
        <v>316</v>
      </c>
      <c r="B164" s="105" t="s">
        <v>301</v>
      </c>
      <c r="C164" s="104">
        <v>169.51400000000001</v>
      </c>
      <c r="D164" s="104">
        <v>6.0199999999999997E-2</v>
      </c>
    </row>
    <row r="165" spans="1:4" ht="14">
      <c r="A165" s="104">
        <v>346</v>
      </c>
      <c r="B165" s="105" t="s">
        <v>302</v>
      </c>
      <c r="C165" s="104">
        <v>143.321</v>
      </c>
      <c r="D165" s="104">
        <v>5.0900000000000001E-2</v>
      </c>
    </row>
    <row r="166" spans="1:4" ht="14">
      <c r="A166" s="104">
        <v>441</v>
      </c>
      <c r="B166" s="105" t="s">
        <v>304</v>
      </c>
      <c r="C166" s="104">
        <v>84.793999999999997</v>
      </c>
      <c r="D166" s="104">
        <v>3.0099999999999998E-2</v>
      </c>
    </row>
    <row r="167" spans="1:4" ht="14">
      <c r="A167" s="104">
        <v>426</v>
      </c>
      <c r="B167" s="105" t="s">
        <v>306</v>
      </c>
      <c r="C167" s="104">
        <v>94.831999999999994</v>
      </c>
      <c r="D167" s="104">
        <v>3.3700000000000001E-2</v>
      </c>
    </row>
    <row r="168" spans="1:4" ht="14">
      <c r="A168" s="104">
        <v>211</v>
      </c>
      <c r="B168" s="105" t="s">
        <v>307</v>
      </c>
      <c r="C168" s="104">
        <v>273.637</v>
      </c>
      <c r="D168" s="104">
        <v>9.7100000000000006E-2</v>
      </c>
    </row>
    <row r="169" spans="1:4" ht="14">
      <c r="A169" s="104">
        <v>317</v>
      </c>
      <c r="B169" s="105" t="s">
        <v>308</v>
      </c>
      <c r="C169" s="104">
        <v>168.52099999999999</v>
      </c>
      <c r="D169" s="104">
        <v>5.9799999999999999E-2</v>
      </c>
    </row>
    <row r="170" spans="1:4" ht="14">
      <c r="A170" s="104">
        <v>107</v>
      </c>
      <c r="B170" s="105" t="s">
        <v>310</v>
      </c>
      <c r="C170" s="104">
        <v>583.46500000000003</v>
      </c>
      <c r="D170" s="104">
        <v>0.20710000000000001</v>
      </c>
    </row>
    <row r="171" spans="1:4" ht="14">
      <c r="A171" s="104">
        <v>109</v>
      </c>
      <c r="B171" s="105" t="s">
        <v>311</v>
      </c>
      <c r="C171" s="104">
        <v>578.875</v>
      </c>
      <c r="D171" s="104">
        <v>0.20549999999999999</v>
      </c>
    </row>
    <row r="172" spans="1:4" ht="14">
      <c r="A172" s="104">
        <v>431</v>
      </c>
      <c r="B172" s="105" t="s">
        <v>312</v>
      </c>
      <c r="C172" s="104">
        <v>93.48</v>
      </c>
      <c r="D172" s="104">
        <v>3.32E-2</v>
      </c>
    </row>
    <row r="173" spans="1:4" ht="14">
      <c r="A173" s="104">
        <v>97</v>
      </c>
      <c r="B173" s="105" t="s">
        <v>314</v>
      </c>
      <c r="C173" s="104">
        <v>650.51199999999994</v>
      </c>
      <c r="D173" s="104">
        <v>0.23089999999999999</v>
      </c>
    </row>
    <row r="174" spans="1:4" ht="14">
      <c r="A174" s="104">
        <v>221</v>
      </c>
      <c r="B174" s="105" t="s">
        <v>39</v>
      </c>
      <c r="C174" s="104">
        <v>265.18099999999998</v>
      </c>
      <c r="D174" s="104">
        <v>9.4100000000000003E-2</v>
      </c>
    </row>
    <row r="175" spans="1:4" ht="14">
      <c r="A175" s="104">
        <v>319</v>
      </c>
      <c r="B175" s="105" t="s">
        <v>315</v>
      </c>
      <c r="C175" s="104">
        <v>167.559</v>
      </c>
      <c r="D175" s="104">
        <v>5.9499999999999997E-2</v>
      </c>
    </row>
    <row r="176" spans="1:4" ht="14">
      <c r="A176" s="104">
        <v>80</v>
      </c>
      <c r="B176" s="105" t="s">
        <v>317</v>
      </c>
      <c r="C176" s="104">
        <v>803.73699999999997</v>
      </c>
      <c r="D176" s="104">
        <v>0.2853</v>
      </c>
    </row>
    <row r="177" spans="1:4" ht="14">
      <c r="A177" s="104">
        <v>278</v>
      </c>
      <c r="B177" s="105" t="s">
        <v>318</v>
      </c>
      <c r="C177" s="104">
        <v>204.428</v>
      </c>
      <c r="D177" s="104">
        <v>7.2599999999999998E-2</v>
      </c>
    </row>
    <row r="178" spans="1:4" ht="14">
      <c r="A178" s="104">
        <v>119</v>
      </c>
      <c r="B178" s="105" t="s">
        <v>320</v>
      </c>
      <c r="C178" s="104">
        <v>510.01</v>
      </c>
      <c r="D178" s="104">
        <v>0.18099999999999999</v>
      </c>
    </row>
    <row r="179" spans="1:4" ht="14">
      <c r="A179" s="104">
        <v>294</v>
      </c>
      <c r="B179" s="105" t="s">
        <v>322</v>
      </c>
      <c r="C179" s="104">
        <v>184.715</v>
      </c>
      <c r="D179" s="104">
        <v>6.5600000000000006E-2</v>
      </c>
    </row>
    <row r="180" spans="1:4" ht="14">
      <c r="A180" s="104">
        <v>202</v>
      </c>
      <c r="B180" s="105" t="s">
        <v>323</v>
      </c>
      <c r="C180" s="104">
        <v>287.46600000000001</v>
      </c>
      <c r="D180" s="104">
        <v>0.10199999999999999</v>
      </c>
    </row>
    <row r="181" spans="1:4" ht="14">
      <c r="A181" s="104">
        <v>73</v>
      </c>
      <c r="B181" s="105" t="s">
        <v>325</v>
      </c>
      <c r="C181" s="104">
        <v>857.05899999999997</v>
      </c>
      <c r="D181" s="104">
        <v>0.30420000000000003</v>
      </c>
    </row>
    <row r="182" spans="1:4" ht="14">
      <c r="A182" s="104">
        <v>180</v>
      </c>
      <c r="B182" s="105" t="s">
        <v>326</v>
      </c>
      <c r="C182" s="104">
        <v>323.78800000000001</v>
      </c>
      <c r="D182" s="104">
        <v>0.1149</v>
      </c>
    </row>
    <row r="183" spans="1:4" ht="14">
      <c r="A183" s="104">
        <v>267</v>
      </c>
      <c r="B183" s="105" t="s">
        <v>328</v>
      </c>
      <c r="C183" s="104">
        <v>217.51499999999999</v>
      </c>
      <c r="D183" s="104">
        <v>7.7200000000000005E-2</v>
      </c>
    </row>
    <row r="184" spans="1:4" ht="14">
      <c r="A184" s="104">
        <v>244</v>
      </c>
      <c r="B184" s="105" t="s">
        <v>330</v>
      </c>
      <c r="C184" s="104">
        <v>239.33799999999999</v>
      </c>
      <c r="D184" s="104">
        <v>8.5000000000000006E-2</v>
      </c>
    </row>
    <row r="185" spans="1:4" ht="14">
      <c r="A185" s="104">
        <v>363</v>
      </c>
      <c r="B185" s="105" t="s">
        <v>331</v>
      </c>
      <c r="C185" s="104">
        <v>131.39599999999999</v>
      </c>
      <c r="D185" s="104">
        <v>4.6600000000000003E-2</v>
      </c>
    </row>
    <row r="186" spans="1:4" ht="14">
      <c r="A186" s="104">
        <v>136</v>
      </c>
      <c r="B186" s="105" t="s">
        <v>332</v>
      </c>
      <c r="C186" s="104">
        <v>462.65600000000001</v>
      </c>
      <c r="D186" s="104">
        <v>0.16420000000000001</v>
      </c>
    </row>
    <row r="187" spans="1:4" ht="14">
      <c r="A187" s="104">
        <v>343</v>
      </c>
      <c r="B187" s="105" t="s">
        <v>334</v>
      </c>
      <c r="C187" s="104">
        <v>146.92500000000001</v>
      </c>
      <c r="D187" s="104">
        <v>5.2200000000000003E-2</v>
      </c>
    </row>
    <row r="188" spans="1:4" ht="14">
      <c r="A188" s="104">
        <v>154</v>
      </c>
      <c r="B188" s="105" t="s">
        <v>335</v>
      </c>
      <c r="C188" s="104">
        <v>376.166</v>
      </c>
      <c r="D188" s="104">
        <v>0.13350000000000001</v>
      </c>
    </row>
    <row r="189" spans="1:4" ht="14">
      <c r="A189" s="104">
        <v>192</v>
      </c>
      <c r="B189" s="105" t="s">
        <v>56</v>
      </c>
      <c r="C189" s="104">
        <v>297.54500000000002</v>
      </c>
      <c r="D189" s="104">
        <v>0.1056</v>
      </c>
    </row>
    <row r="190" spans="1:4" ht="14">
      <c r="A190" s="104">
        <v>200</v>
      </c>
      <c r="B190" s="105" t="s">
        <v>337</v>
      </c>
      <c r="C190" s="104">
        <v>290.7</v>
      </c>
      <c r="D190" s="104">
        <v>0.1032</v>
      </c>
    </row>
    <row r="191" spans="1:4" ht="14">
      <c r="A191" s="104">
        <v>488</v>
      </c>
      <c r="B191" s="105" t="s">
        <v>338</v>
      </c>
      <c r="C191" s="104">
        <v>48.561999999999998</v>
      </c>
      <c r="D191" s="104">
        <v>1.72E-2</v>
      </c>
    </row>
    <row r="192" spans="1:4" ht="14">
      <c r="A192" s="104">
        <v>35</v>
      </c>
      <c r="B192" s="105" t="s">
        <v>340</v>
      </c>
      <c r="C192" s="104">
        <v>1759.7170000000001</v>
      </c>
      <c r="D192" s="104">
        <v>0.62470000000000003</v>
      </c>
    </row>
    <row r="193" spans="1:4" ht="14">
      <c r="A193" s="104">
        <v>385</v>
      </c>
      <c r="B193" s="105" t="s">
        <v>341</v>
      </c>
      <c r="C193" s="104">
        <v>118.252</v>
      </c>
      <c r="D193" s="104">
        <v>4.2000000000000003E-2</v>
      </c>
    </row>
    <row r="194" spans="1:4" ht="14">
      <c r="A194" s="104">
        <v>254</v>
      </c>
      <c r="B194" s="105" t="s">
        <v>342</v>
      </c>
      <c r="C194" s="104">
        <v>229.73599999999999</v>
      </c>
      <c r="D194" s="104">
        <v>8.1600000000000006E-2</v>
      </c>
    </row>
    <row r="195" spans="1:4" ht="14">
      <c r="A195" s="104">
        <v>77</v>
      </c>
      <c r="B195" s="105" t="s">
        <v>343</v>
      </c>
      <c r="C195" s="104">
        <v>822.60799999999995</v>
      </c>
      <c r="D195" s="104">
        <v>0.29199999999999998</v>
      </c>
    </row>
    <row r="196" spans="1:4" ht="14">
      <c r="A196" s="104">
        <v>356</v>
      </c>
      <c r="B196" s="105" t="s">
        <v>344</v>
      </c>
      <c r="C196" s="104">
        <v>134.46299999999999</v>
      </c>
      <c r="D196" s="104">
        <v>4.7699999999999999E-2</v>
      </c>
    </row>
    <row r="197" spans="1:4" ht="14">
      <c r="A197" s="104">
        <v>288</v>
      </c>
      <c r="B197" s="105" t="s">
        <v>345</v>
      </c>
      <c r="C197" s="104">
        <v>195.42599999999999</v>
      </c>
      <c r="D197" s="104">
        <v>6.9400000000000003E-2</v>
      </c>
    </row>
    <row r="198" spans="1:4" ht="14">
      <c r="A198" s="104">
        <v>165</v>
      </c>
      <c r="B198" s="105" t="s">
        <v>346</v>
      </c>
      <c r="C198" s="104">
        <v>348.77800000000002</v>
      </c>
      <c r="D198" s="104">
        <v>0.12379999999999999</v>
      </c>
    </row>
    <row r="199" spans="1:4" ht="14">
      <c r="A199" s="104">
        <v>197</v>
      </c>
      <c r="B199" s="105" t="s">
        <v>348</v>
      </c>
      <c r="C199" s="104">
        <v>292.16000000000003</v>
      </c>
      <c r="D199" s="104">
        <v>0.1037</v>
      </c>
    </row>
    <row r="200" spans="1:4" ht="14">
      <c r="A200" s="104">
        <v>188</v>
      </c>
      <c r="B200" s="105" t="s">
        <v>349</v>
      </c>
      <c r="C200" s="104">
        <v>307.16399999999999</v>
      </c>
      <c r="D200" s="104">
        <v>0.109</v>
      </c>
    </row>
    <row r="201" spans="1:4" ht="14">
      <c r="A201" s="104">
        <v>102</v>
      </c>
      <c r="B201" s="105" t="s">
        <v>351</v>
      </c>
      <c r="C201" s="104">
        <v>607.18499999999995</v>
      </c>
      <c r="D201" s="104">
        <v>0.2155</v>
      </c>
    </row>
    <row r="202" spans="1:4" ht="14">
      <c r="A202" s="104">
        <v>354</v>
      </c>
      <c r="B202" s="105" t="s">
        <v>352</v>
      </c>
      <c r="C202" s="104">
        <v>136.78399999999999</v>
      </c>
      <c r="D202" s="104">
        <v>4.8599999999999997E-2</v>
      </c>
    </row>
    <row r="203" spans="1:4" ht="14">
      <c r="A203" s="104">
        <v>89</v>
      </c>
      <c r="B203" s="105" t="s">
        <v>28</v>
      </c>
      <c r="C203" s="104">
        <v>689.06399999999996</v>
      </c>
      <c r="D203" s="104">
        <v>0.24460000000000001</v>
      </c>
    </row>
    <row r="204" spans="1:4" ht="14">
      <c r="A204" s="104">
        <v>386</v>
      </c>
      <c r="B204" s="105" t="s">
        <v>355</v>
      </c>
      <c r="C204" s="104">
        <v>118.14400000000001</v>
      </c>
      <c r="D204" s="104">
        <v>4.19E-2</v>
      </c>
    </row>
    <row r="205" spans="1:4" ht="14">
      <c r="A205" s="104">
        <v>492</v>
      </c>
      <c r="B205" s="105" t="s">
        <v>357</v>
      </c>
      <c r="C205" s="104">
        <v>39.765999999999998</v>
      </c>
      <c r="D205" s="104">
        <v>1.41E-2</v>
      </c>
    </row>
    <row r="206" spans="1:4" ht="14">
      <c r="A206" s="104">
        <v>462</v>
      </c>
      <c r="B206" s="105" t="s">
        <v>359</v>
      </c>
      <c r="C206" s="104">
        <v>73.588999999999999</v>
      </c>
      <c r="D206" s="104">
        <v>2.6100000000000002E-2</v>
      </c>
    </row>
    <row r="207" spans="1:4" ht="14">
      <c r="A207" s="104">
        <v>160</v>
      </c>
      <c r="B207" s="105" t="s">
        <v>360</v>
      </c>
      <c r="C207" s="104">
        <v>358.28300000000002</v>
      </c>
      <c r="D207" s="104">
        <v>0.12720000000000001</v>
      </c>
    </row>
    <row r="208" spans="1:4" ht="14">
      <c r="A208" s="104">
        <v>392</v>
      </c>
      <c r="B208" s="105" t="s">
        <v>361</v>
      </c>
      <c r="C208" s="104">
        <v>113.749</v>
      </c>
      <c r="D208" s="104">
        <v>4.0399999999999998E-2</v>
      </c>
    </row>
    <row r="209" spans="1:4" ht="14">
      <c r="A209" s="104">
        <v>106</v>
      </c>
      <c r="B209" s="105" t="s">
        <v>362</v>
      </c>
      <c r="C209" s="104">
        <v>599.36099999999999</v>
      </c>
      <c r="D209" s="104">
        <v>0.21279999999999999</v>
      </c>
    </row>
    <row r="210" spans="1:4" ht="14">
      <c r="A210" s="104">
        <v>327</v>
      </c>
      <c r="B210" s="105" t="s">
        <v>364</v>
      </c>
      <c r="C210" s="104">
        <v>157.88200000000001</v>
      </c>
      <c r="D210" s="104">
        <v>5.6000000000000001E-2</v>
      </c>
    </row>
    <row r="211" spans="1:4" ht="14">
      <c r="A211" s="104">
        <v>299</v>
      </c>
      <c r="B211" s="105" t="s">
        <v>366</v>
      </c>
      <c r="C211" s="104">
        <v>181.57900000000001</v>
      </c>
      <c r="D211" s="104">
        <v>6.4500000000000002E-2</v>
      </c>
    </row>
    <row r="212" spans="1:4" ht="14">
      <c r="A212" s="104">
        <v>310</v>
      </c>
      <c r="B212" s="105" t="s">
        <v>367</v>
      </c>
      <c r="C212" s="104">
        <v>172.80099999999999</v>
      </c>
      <c r="D212" s="104">
        <v>6.13E-2</v>
      </c>
    </row>
    <row r="213" spans="1:4" ht="14">
      <c r="A213" s="104">
        <v>59</v>
      </c>
      <c r="B213" s="105" t="s">
        <v>368</v>
      </c>
      <c r="C213" s="104">
        <v>1120.874</v>
      </c>
      <c r="D213" s="104">
        <v>0.39789999999999998</v>
      </c>
    </row>
    <row r="214" spans="1:4" ht="14">
      <c r="A214" s="104">
        <v>295</v>
      </c>
      <c r="B214" s="105" t="s">
        <v>369</v>
      </c>
      <c r="C214" s="104">
        <v>184.673</v>
      </c>
      <c r="D214" s="104">
        <v>6.5600000000000006E-2</v>
      </c>
    </row>
    <row r="215" spans="1:4" ht="14">
      <c r="A215" s="104">
        <v>13</v>
      </c>
      <c r="B215" s="105" t="s">
        <v>371</v>
      </c>
      <c r="C215" s="104">
        <v>3406.6060000000002</v>
      </c>
      <c r="D215" s="104">
        <v>1.2093</v>
      </c>
    </row>
    <row r="216" spans="1:4" ht="14">
      <c r="A216" s="104">
        <v>276</v>
      </c>
      <c r="B216" s="105" t="s">
        <v>372</v>
      </c>
      <c r="C216" s="104">
        <v>206.91</v>
      </c>
      <c r="D216" s="104">
        <v>7.3400000000000007E-2</v>
      </c>
    </row>
    <row r="217" spans="1:4" ht="14">
      <c r="A217" s="104">
        <v>272</v>
      </c>
      <c r="B217" s="105" t="s">
        <v>374</v>
      </c>
      <c r="C217" s="104">
        <v>212.66900000000001</v>
      </c>
      <c r="D217" s="104">
        <v>7.5499999999999998E-2</v>
      </c>
    </row>
    <row r="218" spans="1:4" ht="14">
      <c r="A218" s="104">
        <v>378</v>
      </c>
      <c r="B218" s="105" t="s">
        <v>375</v>
      </c>
      <c r="C218" s="104">
        <v>122.93</v>
      </c>
      <c r="D218" s="104">
        <v>4.36E-2</v>
      </c>
    </row>
    <row r="219" spans="1:4" ht="14">
      <c r="A219" s="104">
        <v>475</v>
      </c>
      <c r="B219" s="105" t="s">
        <v>376</v>
      </c>
      <c r="C219" s="104">
        <v>63.091999999999999</v>
      </c>
      <c r="D219" s="104">
        <v>2.24E-2</v>
      </c>
    </row>
    <row r="220" spans="1:4" ht="14">
      <c r="A220" s="104">
        <v>368</v>
      </c>
      <c r="B220" s="105" t="s">
        <v>378</v>
      </c>
      <c r="C220" s="104">
        <v>127.589</v>
      </c>
      <c r="D220" s="104">
        <v>4.53E-2</v>
      </c>
    </row>
    <row r="221" spans="1:4" ht="14">
      <c r="A221" s="104">
        <v>169</v>
      </c>
      <c r="B221" s="105" t="s">
        <v>379</v>
      </c>
      <c r="C221" s="104">
        <v>339.399</v>
      </c>
      <c r="D221" s="104">
        <v>0.1205</v>
      </c>
    </row>
    <row r="222" spans="1:4" ht="14">
      <c r="A222" s="104">
        <v>304</v>
      </c>
      <c r="B222" s="105" t="s">
        <v>380</v>
      </c>
      <c r="C222" s="104">
        <v>179.238</v>
      </c>
      <c r="D222" s="104">
        <v>6.3600000000000004E-2</v>
      </c>
    </row>
    <row r="223" spans="1:4" ht="14">
      <c r="A223" s="104">
        <v>29</v>
      </c>
      <c r="B223" s="105" t="s">
        <v>86</v>
      </c>
      <c r="C223" s="104">
        <v>2051.8449999999998</v>
      </c>
      <c r="D223" s="104">
        <v>0.72840000000000005</v>
      </c>
    </row>
    <row r="224" spans="1:4" ht="14">
      <c r="A224" s="104">
        <v>93</v>
      </c>
      <c r="B224" s="105" t="s">
        <v>382</v>
      </c>
      <c r="C224" s="104">
        <v>672.73500000000001</v>
      </c>
      <c r="D224" s="104">
        <v>0.23880000000000001</v>
      </c>
    </row>
    <row r="225" spans="1:4" ht="14">
      <c r="A225" s="104">
        <v>71</v>
      </c>
      <c r="B225" s="105" t="s">
        <v>383</v>
      </c>
      <c r="C225" s="104">
        <v>908.83799999999997</v>
      </c>
      <c r="D225" s="104">
        <v>0.3226</v>
      </c>
    </row>
    <row r="226" spans="1:4" ht="14">
      <c r="A226" s="104">
        <v>74</v>
      </c>
      <c r="B226" s="105" t="s">
        <v>385</v>
      </c>
      <c r="C226" s="104">
        <v>856.47500000000002</v>
      </c>
      <c r="D226" s="104">
        <v>0.30399999999999999</v>
      </c>
    </row>
    <row r="227" spans="1:4" ht="14">
      <c r="A227" s="104">
        <v>52</v>
      </c>
      <c r="B227" s="105" t="s">
        <v>386</v>
      </c>
      <c r="C227" s="104">
        <v>1238.9380000000001</v>
      </c>
      <c r="D227" s="104">
        <v>0.43980000000000002</v>
      </c>
    </row>
    <row r="228" spans="1:4" ht="14">
      <c r="A228" s="104">
        <v>33</v>
      </c>
      <c r="B228" s="105" t="s">
        <v>387</v>
      </c>
      <c r="C228" s="104">
        <v>1929.5440000000001</v>
      </c>
      <c r="D228" s="104">
        <v>0.68489999999999995</v>
      </c>
    </row>
    <row r="229" spans="1:4" ht="14">
      <c r="A229" s="104">
        <v>399</v>
      </c>
      <c r="B229" s="105" t="s">
        <v>388</v>
      </c>
      <c r="C229" s="104">
        <v>109.28100000000001</v>
      </c>
      <c r="D229" s="104">
        <v>3.8800000000000001E-2</v>
      </c>
    </row>
    <row r="230" spans="1:4" ht="14">
      <c r="A230" s="104">
        <v>351</v>
      </c>
      <c r="B230" s="105" t="s">
        <v>389</v>
      </c>
      <c r="C230" s="104">
        <v>138.602</v>
      </c>
      <c r="D230" s="104">
        <v>4.9200000000000001E-2</v>
      </c>
    </row>
    <row r="231" spans="1:4" ht="14">
      <c r="A231" s="104">
        <v>51</v>
      </c>
      <c r="B231" s="105" t="s">
        <v>391</v>
      </c>
      <c r="C231" s="104">
        <v>1260.2270000000001</v>
      </c>
      <c r="D231" s="104">
        <v>0.44740000000000002</v>
      </c>
    </row>
    <row r="232" spans="1:4" ht="14">
      <c r="A232" s="104">
        <v>153</v>
      </c>
      <c r="B232" s="105" t="s">
        <v>393</v>
      </c>
      <c r="C232" s="104">
        <v>387.45499999999998</v>
      </c>
      <c r="D232" s="104">
        <v>0.13750000000000001</v>
      </c>
    </row>
    <row r="233" spans="1:4" ht="14">
      <c r="A233" s="104">
        <v>434</v>
      </c>
      <c r="B233" s="105" t="s">
        <v>394</v>
      </c>
      <c r="C233" s="104">
        <v>91.313999999999993</v>
      </c>
      <c r="D233" s="104">
        <v>3.2399999999999998E-2</v>
      </c>
    </row>
    <row r="234" spans="1:4" ht="14">
      <c r="A234" s="104">
        <v>468</v>
      </c>
      <c r="B234" s="105" t="s">
        <v>396</v>
      </c>
      <c r="C234" s="104">
        <v>67.947000000000003</v>
      </c>
      <c r="D234" s="104">
        <v>2.41E-2</v>
      </c>
    </row>
    <row r="235" spans="1:4" ht="14">
      <c r="A235" s="104">
        <v>20</v>
      </c>
      <c r="B235" s="105" t="s">
        <v>397</v>
      </c>
      <c r="C235" s="104">
        <v>2600.9690000000001</v>
      </c>
      <c r="D235" s="104">
        <v>0.92330000000000001</v>
      </c>
    </row>
    <row r="236" spans="1:4" ht="14">
      <c r="A236" s="104">
        <v>239</v>
      </c>
      <c r="B236" s="105" t="s">
        <v>398</v>
      </c>
      <c r="C236" s="104">
        <v>245.62700000000001</v>
      </c>
      <c r="D236" s="104">
        <v>8.72E-2</v>
      </c>
    </row>
    <row r="237" spans="1:4" ht="14">
      <c r="A237" s="104">
        <v>495</v>
      </c>
      <c r="B237" s="105" t="s">
        <v>399</v>
      </c>
      <c r="C237" s="104">
        <v>33.414000000000001</v>
      </c>
      <c r="D237" s="104">
        <v>1.1900000000000001E-2</v>
      </c>
    </row>
    <row r="238" spans="1:4" ht="14">
      <c r="A238" s="104">
        <v>474</v>
      </c>
      <c r="B238" s="105" t="s">
        <v>400</v>
      </c>
      <c r="C238" s="104">
        <v>63.502000000000002</v>
      </c>
      <c r="D238" s="104">
        <v>2.2499999999999999E-2</v>
      </c>
    </row>
    <row r="239" spans="1:4" ht="14">
      <c r="A239" s="104">
        <v>37</v>
      </c>
      <c r="B239" s="105" t="s">
        <v>402</v>
      </c>
      <c r="C239" s="104">
        <v>1682.82</v>
      </c>
      <c r="D239" s="104">
        <v>0.59740000000000004</v>
      </c>
    </row>
    <row r="240" spans="1:4" ht="14">
      <c r="A240" s="104">
        <v>174</v>
      </c>
      <c r="B240" s="105" t="s">
        <v>403</v>
      </c>
      <c r="C240" s="104">
        <v>335.19799999999998</v>
      </c>
      <c r="D240" s="104">
        <v>0.11899999999999999</v>
      </c>
    </row>
    <row r="241" spans="1:4" ht="14">
      <c r="A241" s="104">
        <v>330</v>
      </c>
      <c r="B241" s="105" t="s">
        <v>405</v>
      </c>
      <c r="C241" s="104">
        <v>156.65299999999999</v>
      </c>
      <c r="D241" s="104">
        <v>5.5599999999999997E-2</v>
      </c>
    </row>
    <row r="242" spans="1:4" ht="14">
      <c r="A242" s="104">
        <v>46</v>
      </c>
      <c r="B242" s="105" t="s">
        <v>407</v>
      </c>
      <c r="C242" s="104">
        <v>1390.6959999999999</v>
      </c>
      <c r="D242" s="104">
        <v>0.49370000000000003</v>
      </c>
    </row>
    <row r="243" spans="1:4" ht="14">
      <c r="A243" s="104">
        <v>100</v>
      </c>
      <c r="B243" s="105" t="s">
        <v>408</v>
      </c>
      <c r="C243" s="104">
        <v>621.56100000000004</v>
      </c>
      <c r="D243" s="104">
        <v>0.22059999999999999</v>
      </c>
    </row>
    <row r="244" spans="1:4" ht="14">
      <c r="A244" s="104">
        <v>446</v>
      </c>
      <c r="B244" s="105" t="s">
        <v>410</v>
      </c>
      <c r="C244" s="104">
        <v>82.063000000000002</v>
      </c>
      <c r="D244" s="104">
        <v>2.9100000000000001E-2</v>
      </c>
    </row>
    <row r="245" spans="1:4" ht="14">
      <c r="A245" s="104">
        <v>98</v>
      </c>
      <c r="B245" s="105" t="s">
        <v>412</v>
      </c>
      <c r="C245" s="104">
        <v>649.77</v>
      </c>
      <c r="D245" s="104">
        <v>0.23069999999999999</v>
      </c>
    </row>
    <row r="246" spans="1:4" ht="14">
      <c r="A246" s="104">
        <v>253</v>
      </c>
      <c r="B246" s="105" t="s">
        <v>414</v>
      </c>
      <c r="C246" s="104">
        <v>229.75899999999999</v>
      </c>
      <c r="D246" s="104">
        <v>8.1600000000000006E-2</v>
      </c>
    </row>
    <row r="247" spans="1:4" ht="14">
      <c r="A247" s="104">
        <v>170</v>
      </c>
      <c r="B247" s="105" t="s">
        <v>415</v>
      </c>
      <c r="C247" s="104">
        <v>338.45</v>
      </c>
      <c r="D247" s="104">
        <v>0.1201</v>
      </c>
    </row>
    <row r="248" spans="1:4" ht="14">
      <c r="A248" s="104">
        <v>421</v>
      </c>
      <c r="B248" s="105" t="s">
        <v>417</v>
      </c>
      <c r="C248" s="104">
        <v>98.727000000000004</v>
      </c>
      <c r="D248" s="104">
        <v>3.5000000000000003E-2</v>
      </c>
    </row>
    <row r="249" spans="1:4" ht="14">
      <c r="A249" s="104">
        <v>373</v>
      </c>
      <c r="B249" s="105" t="s">
        <v>419</v>
      </c>
      <c r="C249" s="104">
        <v>125.425</v>
      </c>
      <c r="D249" s="104">
        <v>4.4499999999999998E-2</v>
      </c>
    </row>
    <row r="250" spans="1:4" ht="14">
      <c r="A250" s="104">
        <v>185</v>
      </c>
      <c r="B250" s="105" t="s">
        <v>421</v>
      </c>
      <c r="C250" s="104">
        <v>311.88400000000001</v>
      </c>
      <c r="D250" s="104">
        <v>0.11070000000000001</v>
      </c>
    </row>
    <row r="251" spans="1:4" ht="14">
      <c r="A251" s="104">
        <v>246</v>
      </c>
      <c r="B251" s="105" t="s">
        <v>422</v>
      </c>
      <c r="C251" s="104">
        <v>238.268</v>
      </c>
      <c r="D251" s="104">
        <v>8.4599999999999995E-2</v>
      </c>
    </row>
    <row r="252" spans="1:4" ht="14">
      <c r="A252" s="104">
        <v>489</v>
      </c>
      <c r="B252" s="105" t="s">
        <v>424</v>
      </c>
      <c r="C252" s="104">
        <v>46.8</v>
      </c>
      <c r="D252" s="104">
        <v>1.66E-2</v>
      </c>
    </row>
    <row r="253" spans="1:4" ht="14">
      <c r="A253" s="104">
        <v>388</v>
      </c>
      <c r="B253" s="105" t="s">
        <v>426</v>
      </c>
      <c r="C253" s="104">
        <v>114.65300000000001</v>
      </c>
      <c r="D253" s="104">
        <v>4.07E-2</v>
      </c>
    </row>
    <row r="254" spans="1:4" ht="14">
      <c r="A254" s="104">
        <v>275</v>
      </c>
      <c r="B254" s="105" t="s">
        <v>428</v>
      </c>
      <c r="C254" s="104">
        <v>208.43899999999999</v>
      </c>
      <c r="D254" s="104">
        <v>7.3999999999999996E-2</v>
      </c>
    </row>
    <row r="255" spans="1:4" ht="14">
      <c r="A255" s="104">
        <v>145</v>
      </c>
      <c r="B255" s="105" t="s">
        <v>430</v>
      </c>
      <c r="C255" s="104">
        <v>424.339</v>
      </c>
      <c r="D255" s="104">
        <v>0.15060000000000001</v>
      </c>
    </row>
    <row r="256" spans="1:4" ht="14">
      <c r="A256" s="104">
        <v>361</v>
      </c>
      <c r="B256" s="105" t="s">
        <v>431</v>
      </c>
      <c r="C256" s="104">
        <v>131.68199999999999</v>
      </c>
      <c r="D256" s="104">
        <v>4.6699999999999998E-2</v>
      </c>
    </row>
    <row r="257" spans="1:4" ht="14">
      <c r="A257" s="104">
        <v>445</v>
      </c>
      <c r="B257" s="105" t="s">
        <v>432</v>
      </c>
      <c r="C257" s="104">
        <v>82.23</v>
      </c>
      <c r="D257" s="104">
        <v>2.92E-2</v>
      </c>
    </row>
    <row r="258" spans="1:4" ht="14">
      <c r="A258" s="104">
        <v>111</v>
      </c>
      <c r="B258" s="105" t="s">
        <v>434</v>
      </c>
      <c r="C258" s="104">
        <v>549.63900000000001</v>
      </c>
      <c r="D258" s="104">
        <v>0.1951</v>
      </c>
    </row>
    <row r="259" spans="1:4" ht="14">
      <c r="A259" s="104">
        <v>466</v>
      </c>
      <c r="B259" s="105" t="s">
        <v>436</v>
      </c>
      <c r="C259" s="104">
        <v>69.725999999999999</v>
      </c>
      <c r="D259" s="104">
        <v>2.4799999999999999E-2</v>
      </c>
    </row>
    <row r="260" spans="1:4" ht="14">
      <c r="A260" s="104">
        <v>144</v>
      </c>
      <c r="B260" s="105" t="s">
        <v>44</v>
      </c>
      <c r="C260" s="104">
        <v>424.846</v>
      </c>
      <c r="D260" s="104">
        <v>0.15079999999999999</v>
      </c>
    </row>
    <row r="261" spans="1:4" ht="14">
      <c r="A261" s="104">
        <v>344</v>
      </c>
      <c r="B261" s="105" t="s">
        <v>438</v>
      </c>
      <c r="C261" s="104">
        <v>146.191</v>
      </c>
      <c r="D261" s="104">
        <v>5.1900000000000002E-2</v>
      </c>
    </row>
    <row r="262" spans="1:4" ht="14">
      <c r="A262" s="104">
        <v>321</v>
      </c>
      <c r="B262" s="105" t="s">
        <v>439</v>
      </c>
      <c r="C262" s="104">
        <v>166.22399999999999</v>
      </c>
      <c r="D262" s="104">
        <v>5.8999999999999997E-2</v>
      </c>
    </row>
    <row r="263" spans="1:4" ht="14">
      <c r="A263" s="104">
        <v>240</v>
      </c>
      <c r="B263" s="105" t="s">
        <v>441</v>
      </c>
      <c r="C263" s="104">
        <v>244.64500000000001</v>
      </c>
      <c r="D263" s="104">
        <v>8.6800000000000002E-2</v>
      </c>
    </row>
    <row r="264" spans="1:4" ht="14">
      <c r="A264" s="104">
        <v>438</v>
      </c>
      <c r="B264" s="105" t="s">
        <v>442</v>
      </c>
      <c r="C264" s="104">
        <v>87.688999999999993</v>
      </c>
      <c r="D264" s="104">
        <v>3.1099999999999999E-2</v>
      </c>
    </row>
    <row r="265" spans="1:4" ht="14">
      <c r="A265" s="104">
        <v>32</v>
      </c>
      <c r="B265" s="105" t="s">
        <v>443</v>
      </c>
      <c r="C265" s="104">
        <v>1977.442</v>
      </c>
      <c r="D265" s="104">
        <v>0.70189999999999997</v>
      </c>
    </row>
    <row r="266" spans="1:4" ht="14">
      <c r="A266" s="104">
        <v>396</v>
      </c>
      <c r="B266" s="105" t="s">
        <v>445</v>
      </c>
      <c r="C266" s="104">
        <v>111.247</v>
      </c>
      <c r="D266" s="104">
        <v>3.95E-2</v>
      </c>
    </row>
    <row r="267" spans="1:4" ht="14">
      <c r="A267" s="104">
        <v>56</v>
      </c>
      <c r="B267" s="105" t="s">
        <v>447</v>
      </c>
      <c r="C267" s="104">
        <v>1193.7170000000001</v>
      </c>
      <c r="D267" s="104">
        <v>0.42370000000000002</v>
      </c>
    </row>
    <row r="268" spans="1:4" ht="14">
      <c r="A268" s="104">
        <v>397</v>
      </c>
      <c r="B268" s="105" t="s">
        <v>448</v>
      </c>
      <c r="C268" s="104">
        <v>111.13200000000001</v>
      </c>
      <c r="D268" s="104">
        <v>3.9399999999999998E-2</v>
      </c>
    </row>
    <row r="269" spans="1:4" ht="14">
      <c r="A269" s="104">
        <v>157</v>
      </c>
      <c r="B269" s="105" t="s">
        <v>227</v>
      </c>
      <c r="C269" s="104">
        <v>361.68900000000002</v>
      </c>
      <c r="D269" s="104">
        <v>0.12839999999999999</v>
      </c>
    </row>
    <row r="270" spans="1:4" ht="14">
      <c r="A270" s="104">
        <v>331</v>
      </c>
      <c r="B270" s="105" t="s">
        <v>449</v>
      </c>
      <c r="C270" s="104">
        <v>154.995</v>
      </c>
      <c r="D270" s="104">
        <v>5.5E-2</v>
      </c>
    </row>
    <row r="271" spans="1:4" ht="14">
      <c r="A271" s="104">
        <v>133</v>
      </c>
      <c r="B271" s="105" t="s">
        <v>450</v>
      </c>
      <c r="C271" s="104">
        <v>468.96199999999999</v>
      </c>
      <c r="D271" s="104">
        <v>0.16650000000000001</v>
      </c>
    </row>
    <row r="272" spans="1:4" ht="14">
      <c r="A272" s="104">
        <v>339</v>
      </c>
      <c r="B272" s="105" t="s">
        <v>452</v>
      </c>
      <c r="C272" s="104">
        <v>148.86099999999999</v>
      </c>
      <c r="D272" s="104">
        <v>5.28E-2</v>
      </c>
    </row>
    <row r="273" spans="1:4" ht="14">
      <c r="A273" s="104">
        <v>458</v>
      </c>
      <c r="B273" s="105" t="s">
        <v>453</v>
      </c>
      <c r="C273" s="104">
        <v>75.513999999999996</v>
      </c>
      <c r="D273" s="104">
        <v>2.6800000000000001E-2</v>
      </c>
    </row>
    <row r="274" spans="1:4" ht="14">
      <c r="A274" s="104">
        <v>273</v>
      </c>
      <c r="B274" s="105" t="s">
        <v>455</v>
      </c>
      <c r="C274" s="104">
        <v>211.61099999999999</v>
      </c>
      <c r="D274" s="104">
        <v>7.51E-2</v>
      </c>
    </row>
    <row r="275" spans="1:4" ht="14">
      <c r="A275" s="104">
        <v>429</v>
      </c>
      <c r="B275" s="105" t="s">
        <v>457</v>
      </c>
      <c r="C275" s="104">
        <v>93.733000000000004</v>
      </c>
      <c r="D275" s="104">
        <v>3.3300000000000003E-2</v>
      </c>
    </row>
    <row r="276" spans="1:4" ht="14">
      <c r="A276" s="104">
        <v>413</v>
      </c>
      <c r="B276" s="105" t="s">
        <v>458</v>
      </c>
      <c r="C276" s="104">
        <v>102.994</v>
      </c>
      <c r="D276" s="104">
        <v>3.6600000000000001E-2</v>
      </c>
    </row>
    <row r="277" spans="1:4" ht="14">
      <c r="A277" s="104">
        <v>424</v>
      </c>
      <c r="B277" s="105" t="s">
        <v>460</v>
      </c>
      <c r="C277" s="104">
        <v>97.593000000000004</v>
      </c>
      <c r="D277" s="104">
        <v>3.4599999999999999E-2</v>
      </c>
    </row>
    <row r="278" spans="1:4" ht="14">
      <c r="A278" s="104">
        <v>291</v>
      </c>
      <c r="B278" s="105" t="s">
        <v>461</v>
      </c>
      <c r="C278" s="104">
        <v>191</v>
      </c>
      <c r="D278" s="104">
        <v>6.7799999999999999E-2</v>
      </c>
    </row>
    <row r="279" spans="1:4" ht="14">
      <c r="A279" s="104">
        <v>477</v>
      </c>
      <c r="B279" s="105" t="s">
        <v>462</v>
      </c>
      <c r="C279" s="104">
        <v>62.185000000000002</v>
      </c>
      <c r="D279" s="104">
        <v>2.2100000000000002E-2</v>
      </c>
    </row>
    <row r="280" spans="1:4" ht="14">
      <c r="A280" s="104">
        <v>414</v>
      </c>
      <c r="B280" s="105" t="s">
        <v>463</v>
      </c>
      <c r="C280" s="104">
        <v>102.729</v>
      </c>
      <c r="D280" s="104">
        <v>3.6499999999999998E-2</v>
      </c>
    </row>
    <row r="281" spans="1:4" ht="14">
      <c r="A281" s="104">
        <v>184</v>
      </c>
      <c r="B281" s="105" t="s">
        <v>465</v>
      </c>
      <c r="C281" s="104">
        <v>314.613</v>
      </c>
      <c r="D281" s="104">
        <v>0.11169999999999999</v>
      </c>
    </row>
    <row r="282" spans="1:4" ht="14">
      <c r="A282" s="104">
        <v>199</v>
      </c>
      <c r="B282" s="105" t="s">
        <v>466</v>
      </c>
      <c r="C282" s="104">
        <v>291.291</v>
      </c>
      <c r="D282" s="104">
        <v>0.10340000000000001</v>
      </c>
    </row>
    <row r="283" spans="1:4" ht="14">
      <c r="A283" s="104">
        <v>225</v>
      </c>
      <c r="B283" s="105" t="s">
        <v>468</v>
      </c>
      <c r="C283" s="104">
        <v>259.94099999999997</v>
      </c>
      <c r="D283" s="104">
        <v>9.2299999999999993E-2</v>
      </c>
    </row>
    <row r="284" spans="1:4" ht="14">
      <c r="A284" s="104">
        <v>230</v>
      </c>
      <c r="B284" s="105" t="s">
        <v>469</v>
      </c>
      <c r="C284" s="104">
        <v>255.26400000000001</v>
      </c>
      <c r="D284" s="104">
        <v>9.06E-2</v>
      </c>
    </row>
    <row r="285" spans="1:4" ht="14">
      <c r="A285" s="104">
        <v>337</v>
      </c>
      <c r="B285" s="105" t="s">
        <v>470</v>
      </c>
      <c r="C285" s="104">
        <v>149.13999999999999</v>
      </c>
      <c r="D285" s="104">
        <v>5.2900000000000003E-2</v>
      </c>
    </row>
    <row r="286" spans="1:4" ht="14">
      <c r="A286" s="104">
        <v>266</v>
      </c>
      <c r="B286" s="105" t="s">
        <v>472</v>
      </c>
      <c r="C286" s="104">
        <v>217.86600000000001</v>
      </c>
      <c r="D286" s="104">
        <v>7.7299999999999994E-2</v>
      </c>
    </row>
    <row r="287" spans="1:4" ht="14">
      <c r="A287" s="104">
        <v>377</v>
      </c>
      <c r="B287" s="105" t="s">
        <v>473</v>
      </c>
      <c r="C287" s="104">
        <v>123.34399999999999</v>
      </c>
      <c r="D287" s="104">
        <v>4.3799999999999999E-2</v>
      </c>
    </row>
    <row r="288" spans="1:4" ht="14">
      <c r="A288" s="104">
        <v>290</v>
      </c>
      <c r="B288" s="105" t="s">
        <v>474</v>
      </c>
      <c r="C288" s="104">
        <v>192.99799999999999</v>
      </c>
      <c r="D288" s="104">
        <v>6.8500000000000005E-2</v>
      </c>
    </row>
    <row r="289" spans="1:4" ht="14">
      <c r="A289" s="104">
        <v>260</v>
      </c>
      <c r="B289" s="105" t="s">
        <v>476</v>
      </c>
      <c r="C289" s="104">
        <v>223.68299999999999</v>
      </c>
      <c r="D289" s="104">
        <v>7.9399999999999998E-2</v>
      </c>
    </row>
    <row r="290" spans="1:4" ht="14">
      <c r="A290" s="104">
        <v>265</v>
      </c>
      <c r="B290" s="105" t="s">
        <v>477</v>
      </c>
      <c r="C290" s="104">
        <v>218.83600000000001</v>
      </c>
      <c r="D290" s="104">
        <v>7.7700000000000005E-2</v>
      </c>
    </row>
    <row r="291" spans="1:4" ht="14">
      <c r="A291" s="104">
        <v>459</v>
      </c>
      <c r="B291" s="105" t="s">
        <v>478</v>
      </c>
      <c r="C291" s="104">
        <v>75.427999999999997</v>
      </c>
      <c r="D291" s="104">
        <v>2.6800000000000001E-2</v>
      </c>
    </row>
    <row r="292" spans="1:4" ht="14">
      <c r="A292" s="104">
        <v>449</v>
      </c>
      <c r="B292" s="105" t="s">
        <v>479</v>
      </c>
      <c r="C292" s="104">
        <v>79.850999999999999</v>
      </c>
      <c r="D292" s="104">
        <v>2.8299999999999999E-2</v>
      </c>
    </row>
    <row r="293" spans="1:4" ht="14">
      <c r="A293" s="104">
        <v>96</v>
      </c>
      <c r="B293" s="105" t="s">
        <v>79</v>
      </c>
      <c r="C293" s="104">
        <v>663.56200000000001</v>
      </c>
      <c r="D293" s="104">
        <v>0.2356</v>
      </c>
    </row>
    <row r="294" spans="1:4" ht="14">
      <c r="A294" s="104">
        <v>298</v>
      </c>
      <c r="B294" s="105" t="s">
        <v>480</v>
      </c>
      <c r="C294" s="104">
        <v>182.11500000000001</v>
      </c>
      <c r="D294" s="104">
        <v>6.4600000000000005E-2</v>
      </c>
    </row>
    <row r="295" spans="1:4" ht="14">
      <c r="A295" s="104">
        <v>67</v>
      </c>
      <c r="B295" s="105" t="s">
        <v>482</v>
      </c>
      <c r="C295" s="104">
        <v>949.20100000000002</v>
      </c>
      <c r="D295" s="104">
        <v>0.33689999999999998</v>
      </c>
    </row>
    <row r="296" spans="1:4" ht="14">
      <c r="A296" s="104">
        <v>44</v>
      </c>
      <c r="B296" s="105" t="s">
        <v>483</v>
      </c>
      <c r="C296" s="104">
        <v>1421.1010000000001</v>
      </c>
      <c r="D296" s="104">
        <v>0.50449999999999995</v>
      </c>
    </row>
    <row r="297" spans="1:4" ht="14">
      <c r="A297" s="104">
        <v>345</v>
      </c>
      <c r="B297" s="105" t="s">
        <v>484</v>
      </c>
      <c r="C297" s="104">
        <v>144.18100000000001</v>
      </c>
      <c r="D297" s="104">
        <v>5.1200000000000002E-2</v>
      </c>
    </row>
    <row r="298" spans="1:4" ht="14">
      <c r="A298" s="104">
        <v>129</v>
      </c>
      <c r="B298" s="105" t="s">
        <v>485</v>
      </c>
      <c r="C298" s="104">
        <v>490.82299999999998</v>
      </c>
      <c r="D298" s="104">
        <v>0.17419999999999999</v>
      </c>
    </row>
    <row r="299" spans="1:4" ht="14">
      <c r="A299" s="104">
        <v>75</v>
      </c>
      <c r="B299" s="105" t="s">
        <v>486</v>
      </c>
      <c r="C299" s="104">
        <v>841.22500000000002</v>
      </c>
      <c r="D299" s="104">
        <v>0.29859999999999998</v>
      </c>
    </row>
    <row r="300" spans="1:4" ht="14">
      <c r="A300" s="104">
        <v>379</v>
      </c>
      <c r="B300" s="105" t="s">
        <v>487</v>
      </c>
      <c r="C300" s="104">
        <v>121.745</v>
      </c>
      <c r="D300" s="104">
        <v>4.3200000000000002E-2</v>
      </c>
    </row>
    <row r="301" spans="1:4" ht="14">
      <c r="A301" s="104">
        <v>171</v>
      </c>
      <c r="B301" s="105" t="s">
        <v>489</v>
      </c>
      <c r="C301" s="104">
        <v>337.53399999999999</v>
      </c>
      <c r="D301" s="104">
        <v>0.1198</v>
      </c>
    </row>
    <row r="302" spans="1:4" ht="14">
      <c r="A302" s="104">
        <v>484</v>
      </c>
      <c r="B302" s="105" t="s">
        <v>490</v>
      </c>
      <c r="C302" s="104">
        <v>57.372999999999998</v>
      </c>
      <c r="D302" s="104">
        <v>2.0400000000000001E-2</v>
      </c>
    </row>
    <row r="303" spans="1:4" ht="14">
      <c r="A303" s="104">
        <v>400</v>
      </c>
      <c r="B303" s="105" t="s">
        <v>491</v>
      </c>
      <c r="C303" s="104">
        <v>108.667</v>
      </c>
      <c r="D303" s="104">
        <v>3.8600000000000002E-2</v>
      </c>
    </row>
    <row r="304" spans="1:4" ht="14">
      <c r="A304" s="104">
        <v>189</v>
      </c>
      <c r="B304" s="105" t="s">
        <v>492</v>
      </c>
      <c r="C304" s="104">
        <v>304.83300000000003</v>
      </c>
      <c r="D304" s="104">
        <v>0.1082</v>
      </c>
    </row>
    <row r="305" spans="1:4" ht="14">
      <c r="A305" s="104">
        <v>222</v>
      </c>
      <c r="B305" s="105" t="s">
        <v>493</v>
      </c>
      <c r="C305" s="104">
        <v>265.13299999999998</v>
      </c>
      <c r="D305" s="104">
        <v>9.4100000000000003E-2</v>
      </c>
    </row>
    <row r="306" spans="1:4" ht="14">
      <c r="A306" s="104">
        <v>83</v>
      </c>
      <c r="B306" s="105" t="s">
        <v>18</v>
      </c>
      <c r="C306" s="104">
        <v>783.60299999999995</v>
      </c>
      <c r="D306" s="104">
        <v>0.2782</v>
      </c>
    </row>
    <row r="307" spans="1:4" ht="14">
      <c r="A307" s="104">
        <v>336</v>
      </c>
      <c r="B307" s="105" t="s">
        <v>496</v>
      </c>
      <c r="C307" s="104">
        <v>149.71799999999999</v>
      </c>
      <c r="D307" s="104">
        <v>5.3100000000000001E-2</v>
      </c>
    </row>
    <row r="308" spans="1:4" ht="14">
      <c r="A308" s="104">
        <v>313</v>
      </c>
      <c r="B308" s="105" t="s">
        <v>498</v>
      </c>
      <c r="C308" s="104">
        <v>171.863</v>
      </c>
      <c r="D308" s="104">
        <v>6.0999999999999999E-2</v>
      </c>
    </row>
    <row r="309" spans="1:4" ht="14">
      <c r="A309" s="104">
        <v>47</v>
      </c>
      <c r="B309" s="105" t="s">
        <v>500</v>
      </c>
      <c r="C309" s="104">
        <v>1373.9849999999999</v>
      </c>
      <c r="D309" s="104">
        <v>0.48770000000000002</v>
      </c>
    </row>
    <row r="310" spans="1:4" ht="14">
      <c r="A310" s="104">
        <v>103</v>
      </c>
      <c r="B310" s="105" t="s">
        <v>501</v>
      </c>
      <c r="C310" s="104">
        <v>603.75699999999995</v>
      </c>
      <c r="D310" s="104">
        <v>0.21429999999999999</v>
      </c>
    </row>
    <row r="311" spans="1:4" ht="14">
      <c r="A311" s="104">
        <v>150</v>
      </c>
      <c r="B311" s="105" t="s">
        <v>502</v>
      </c>
      <c r="C311" s="104">
        <v>414.87200000000001</v>
      </c>
      <c r="D311" s="104">
        <v>0.14729999999999999</v>
      </c>
    </row>
    <row r="312" spans="1:4" ht="14">
      <c r="A312" s="104">
        <v>41</v>
      </c>
      <c r="B312" s="105" t="s">
        <v>77</v>
      </c>
      <c r="C312" s="104">
        <v>1609.7080000000001</v>
      </c>
      <c r="D312" s="104">
        <v>0.57140000000000002</v>
      </c>
    </row>
    <row r="313" spans="1:4" ht="14">
      <c r="A313" s="104">
        <v>440</v>
      </c>
      <c r="B313" s="105" t="s">
        <v>504</v>
      </c>
      <c r="C313" s="104">
        <v>85.138000000000005</v>
      </c>
      <c r="D313" s="104">
        <v>3.0200000000000001E-2</v>
      </c>
    </row>
    <row r="314" spans="1:4" ht="14">
      <c r="A314" s="104">
        <v>467</v>
      </c>
      <c r="B314" s="105" t="s">
        <v>506</v>
      </c>
      <c r="C314" s="104">
        <v>68.221999999999994</v>
      </c>
      <c r="D314" s="104">
        <v>2.4199999999999999E-2</v>
      </c>
    </row>
    <row r="315" spans="1:4" ht="14">
      <c r="A315" s="104">
        <v>140</v>
      </c>
      <c r="B315" s="105" t="s">
        <v>507</v>
      </c>
      <c r="C315" s="104">
        <v>438.11</v>
      </c>
      <c r="D315" s="104">
        <v>0.1555</v>
      </c>
    </row>
    <row r="316" spans="1:4" ht="14">
      <c r="A316" s="104">
        <v>132</v>
      </c>
      <c r="B316" s="105" t="s">
        <v>508</v>
      </c>
      <c r="C316" s="104">
        <v>478.11</v>
      </c>
      <c r="D316" s="104">
        <v>0.16969999999999999</v>
      </c>
    </row>
    <row r="317" spans="1:4" ht="14">
      <c r="A317" s="104">
        <v>407</v>
      </c>
      <c r="B317" s="105" t="s">
        <v>509</v>
      </c>
      <c r="C317" s="104">
        <v>105.38500000000001</v>
      </c>
      <c r="D317" s="104">
        <v>3.7400000000000003E-2</v>
      </c>
    </row>
    <row r="318" spans="1:4" ht="14">
      <c r="A318" s="104">
        <v>26</v>
      </c>
      <c r="B318" s="105" t="s">
        <v>510</v>
      </c>
      <c r="C318" s="104">
        <v>2248.221</v>
      </c>
      <c r="D318" s="104">
        <v>0.79810000000000003</v>
      </c>
    </row>
    <row r="319" spans="1:4" ht="14">
      <c r="A319" s="104">
        <v>410</v>
      </c>
      <c r="B319" s="105" t="s">
        <v>511</v>
      </c>
      <c r="C319" s="104">
        <v>104.821</v>
      </c>
      <c r="D319" s="104">
        <v>3.7199999999999997E-2</v>
      </c>
    </row>
    <row r="320" spans="1:4" ht="14">
      <c r="A320" s="104">
        <v>196</v>
      </c>
      <c r="B320" s="105" t="s">
        <v>514</v>
      </c>
      <c r="C320" s="104">
        <v>293.72300000000001</v>
      </c>
      <c r="D320" s="104">
        <v>0.1043</v>
      </c>
    </row>
    <row r="321" spans="1:4" ht="14">
      <c r="A321" s="104">
        <v>11</v>
      </c>
      <c r="B321" s="105" t="s">
        <v>515</v>
      </c>
      <c r="C321" s="104">
        <v>3537.799</v>
      </c>
      <c r="D321" s="104">
        <v>1.2558</v>
      </c>
    </row>
    <row r="322" spans="1:4" ht="14">
      <c r="A322" s="104">
        <v>255</v>
      </c>
      <c r="B322" s="105" t="s">
        <v>516</v>
      </c>
      <c r="C322" s="104">
        <v>228.55199999999999</v>
      </c>
      <c r="D322" s="104">
        <v>8.1100000000000005E-2</v>
      </c>
    </row>
    <row r="323" spans="1:4" ht="14">
      <c r="A323" s="104">
        <v>469</v>
      </c>
      <c r="B323" s="105" t="s">
        <v>519</v>
      </c>
      <c r="C323" s="104">
        <v>67.570999999999998</v>
      </c>
      <c r="D323" s="104">
        <v>2.4E-2</v>
      </c>
    </row>
    <row r="324" spans="1:4" ht="14">
      <c r="A324" s="104">
        <v>126</v>
      </c>
      <c r="B324" s="105" t="s">
        <v>520</v>
      </c>
      <c r="C324" s="104">
        <v>503.53800000000001</v>
      </c>
      <c r="D324" s="104">
        <v>0.1787</v>
      </c>
    </row>
    <row r="325" spans="1:4" ht="14">
      <c r="A325" s="104">
        <v>419</v>
      </c>
      <c r="B325" s="105" t="s">
        <v>522</v>
      </c>
      <c r="C325" s="104">
        <v>99.504000000000005</v>
      </c>
      <c r="D325" s="104">
        <v>3.5299999999999998E-2</v>
      </c>
    </row>
    <row r="326" spans="1:4" ht="14">
      <c r="A326" s="104">
        <v>325</v>
      </c>
      <c r="B326" s="105" t="s">
        <v>524</v>
      </c>
      <c r="C326" s="104">
        <v>160.386</v>
      </c>
      <c r="D326" s="104">
        <v>5.6899999999999999E-2</v>
      </c>
    </row>
    <row r="327" spans="1:4" ht="14">
      <c r="A327" s="104">
        <v>127</v>
      </c>
      <c r="B327" s="105" t="s">
        <v>48</v>
      </c>
      <c r="C327" s="104">
        <v>495.39</v>
      </c>
      <c r="D327" s="104">
        <v>0.1759</v>
      </c>
    </row>
    <row r="328" spans="1:4" ht="14">
      <c r="A328" s="104">
        <v>236</v>
      </c>
      <c r="B328" s="105" t="s">
        <v>526</v>
      </c>
      <c r="C328" s="104">
        <v>250.876</v>
      </c>
      <c r="D328" s="104">
        <v>8.9099999999999999E-2</v>
      </c>
    </row>
    <row r="329" spans="1:4" ht="14">
      <c r="A329" s="104">
        <v>405</v>
      </c>
      <c r="B329" s="105" t="s">
        <v>527</v>
      </c>
      <c r="C329" s="104">
        <v>105.81100000000001</v>
      </c>
      <c r="D329" s="104">
        <v>3.7600000000000001E-2</v>
      </c>
    </row>
    <row r="330" spans="1:4" ht="14">
      <c r="A330" s="104">
        <v>389</v>
      </c>
      <c r="B330" s="105" t="s">
        <v>528</v>
      </c>
      <c r="C330" s="104">
        <v>114.28400000000001</v>
      </c>
      <c r="D330" s="104">
        <v>4.0599999999999997E-2</v>
      </c>
    </row>
    <row r="331" spans="1:4" ht="14">
      <c r="A331" s="104">
        <v>207</v>
      </c>
      <c r="B331" s="105" t="s">
        <v>529</v>
      </c>
      <c r="C331" s="104">
        <v>281.49700000000001</v>
      </c>
      <c r="D331" s="104">
        <v>9.9900000000000003E-2</v>
      </c>
    </row>
    <row r="332" spans="1:4" ht="14">
      <c r="A332" s="104">
        <v>408</v>
      </c>
      <c r="B332" s="105" t="s">
        <v>530</v>
      </c>
      <c r="C332" s="104">
        <v>105.358</v>
      </c>
      <c r="D332" s="104">
        <v>3.7400000000000003E-2</v>
      </c>
    </row>
    <row r="333" spans="1:4" ht="14">
      <c r="A333" s="104">
        <v>487</v>
      </c>
      <c r="B333" s="105" t="s">
        <v>532</v>
      </c>
      <c r="C333" s="104">
        <v>49.628</v>
      </c>
      <c r="D333" s="104">
        <v>1.7600000000000001E-2</v>
      </c>
    </row>
    <row r="334" spans="1:4" ht="14">
      <c r="A334" s="104">
        <v>228</v>
      </c>
      <c r="B334" s="105" t="s">
        <v>534</v>
      </c>
      <c r="C334" s="104">
        <v>256.03899999999999</v>
      </c>
      <c r="D334" s="104">
        <v>9.0899999999999995E-2</v>
      </c>
    </row>
    <row r="335" spans="1:4" ht="14">
      <c r="A335" s="104">
        <v>312</v>
      </c>
      <c r="B335" s="105" t="s">
        <v>536</v>
      </c>
      <c r="C335" s="104">
        <v>171.97300000000001</v>
      </c>
      <c r="D335" s="104">
        <v>6.0999999999999999E-2</v>
      </c>
    </row>
    <row r="336" spans="1:4" ht="14">
      <c r="A336" s="104">
        <v>277</v>
      </c>
      <c r="B336" s="105" t="s">
        <v>537</v>
      </c>
      <c r="C336" s="104">
        <v>205.11699999999999</v>
      </c>
      <c r="D336" s="104">
        <v>7.2800000000000004E-2</v>
      </c>
    </row>
    <row r="337" spans="1:4" ht="14">
      <c r="A337" s="104">
        <v>16</v>
      </c>
      <c r="B337" s="105" t="s">
        <v>538</v>
      </c>
      <c r="C337" s="104">
        <v>3139.9949999999999</v>
      </c>
      <c r="D337" s="104">
        <v>1.1146</v>
      </c>
    </row>
    <row r="338" spans="1:4" ht="14">
      <c r="A338" s="104">
        <v>216</v>
      </c>
      <c r="B338" s="105" t="s">
        <v>539</v>
      </c>
      <c r="C338" s="104">
        <v>268.58300000000003</v>
      </c>
      <c r="D338" s="104">
        <v>9.5299999999999996E-2</v>
      </c>
    </row>
    <row r="339" spans="1:4" ht="14">
      <c r="A339" s="104">
        <v>112</v>
      </c>
      <c r="B339" s="105" t="s">
        <v>540</v>
      </c>
      <c r="C339" s="104">
        <v>543.35900000000004</v>
      </c>
      <c r="D339" s="104">
        <v>0.19289999999999999</v>
      </c>
    </row>
    <row r="340" spans="1:4" ht="14">
      <c r="A340" s="104">
        <v>261</v>
      </c>
      <c r="B340" s="105" t="s">
        <v>541</v>
      </c>
      <c r="C340" s="104">
        <v>223.072</v>
      </c>
      <c r="D340" s="104">
        <v>7.9200000000000007E-2</v>
      </c>
    </row>
    <row r="341" spans="1:4" ht="14">
      <c r="A341" s="104">
        <v>190</v>
      </c>
      <c r="B341" s="105" t="s">
        <v>542</v>
      </c>
      <c r="C341" s="104">
        <v>303.69400000000002</v>
      </c>
      <c r="D341" s="104">
        <v>0.10780000000000001</v>
      </c>
    </row>
    <row r="342" spans="1:4" ht="14">
      <c r="A342" s="104">
        <v>376</v>
      </c>
      <c r="B342" s="105" t="s">
        <v>543</v>
      </c>
      <c r="C342" s="104">
        <v>123.35299999999999</v>
      </c>
      <c r="D342" s="104">
        <v>4.3799999999999999E-2</v>
      </c>
    </row>
    <row r="343" spans="1:4" ht="14">
      <c r="A343" s="104">
        <v>65</v>
      </c>
      <c r="B343" s="105" t="s">
        <v>755</v>
      </c>
      <c r="C343" s="104">
        <v>968.62</v>
      </c>
      <c r="D343" s="104">
        <v>0.34379999999999999</v>
      </c>
    </row>
    <row r="344" spans="1:4" ht="14">
      <c r="A344" s="104">
        <v>251</v>
      </c>
      <c r="B344" s="105" t="s">
        <v>544</v>
      </c>
      <c r="C344" s="104">
        <v>235.85400000000001</v>
      </c>
      <c r="D344" s="104">
        <v>8.3699999999999997E-2</v>
      </c>
    </row>
    <row r="345" spans="1:4" ht="14">
      <c r="A345" s="104">
        <v>18</v>
      </c>
      <c r="B345" s="105" t="s">
        <v>545</v>
      </c>
      <c r="C345" s="104">
        <v>2709.3910000000001</v>
      </c>
      <c r="D345" s="104">
        <v>0.96179999999999999</v>
      </c>
    </row>
    <row r="346" spans="1:4" ht="14">
      <c r="A346" s="104">
        <v>30</v>
      </c>
      <c r="B346" s="105" t="s">
        <v>546</v>
      </c>
      <c r="C346" s="104">
        <v>2051.1120000000001</v>
      </c>
      <c r="D346" s="104">
        <v>0.72809999999999997</v>
      </c>
    </row>
    <row r="347" spans="1:4" ht="14">
      <c r="A347" s="104">
        <v>243</v>
      </c>
      <c r="B347" s="105" t="s">
        <v>547</v>
      </c>
      <c r="C347" s="104">
        <v>239.559</v>
      </c>
      <c r="D347" s="104">
        <v>8.5000000000000006E-2</v>
      </c>
    </row>
    <row r="348" spans="1:4" ht="14">
      <c r="A348" s="104">
        <v>274</v>
      </c>
      <c r="B348" s="105" t="s">
        <v>548</v>
      </c>
      <c r="C348" s="104">
        <v>208.62899999999999</v>
      </c>
      <c r="D348" s="104">
        <v>7.4099999999999999E-2</v>
      </c>
    </row>
    <row r="349" spans="1:4" ht="14">
      <c r="A349" s="104">
        <v>442</v>
      </c>
      <c r="B349" s="105" t="s">
        <v>549</v>
      </c>
      <c r="C349" s="104">
        <v>83.278000000000006</v>
      </c>
      <c r="D349" s="104">
        <v>2.9600000000000001E-2</v>
      </c>
    </row>
    <row r="350" spans="1:4" ht="14">
      <c r="A350" s="104">
        <v>194</v>
      </c>
      <c r="B350" s="105" t="s">
        <v>550</v>
      </c>
      <c r="C350" s="104">
        <v>295.32600000000002</v>
      </c>
      <c r="D350" s="104">
        <v>0.1048</v>
      </c>
    </row>
    <row r="351" spans="1:4" ht="14">
      <c r="A351" s="104">
        <v>193</v>
      </c>
      <c r="B351" s="105" t="s">
        <v>552</v>
      </c>
      <c r="C351" s="104">
        <v>295.637</v>
      </c>
      <c r="D351" s="104">
        <v>0.10489999999999999</v>
      </c>
    </row>
    <row r="352" spans="1:4" ht="14">
      <c r="A352" s="104">
        <v>148</v>
      </c>
      <c r="B352" s="105" t="s">
        <v>554</v>
      </c>
      <c r="C352" s="104">
        <v>419.34399999999999</v>
      </c>
      <c r="D352" s="104">
        <v>0.1489</v>
      </c>
    </row>
    <row r="353" spans="1:4" ht="14">
      <c r="A353" s="104">
        <v>233</v>
      </c>
      <c r="B353" s="105" t="s">
        <v>556</v>
      </c>
      <c r="C353" s="104">
        <v>252.45400000000001</v>
      </c>
      <c r="D353" s="104">
        <v>8.9599999999999999E-2</v>
      </c>
    </row>
    <row r="354" spans="1:4" ht="14">
      <c r="A354" s="104">
        <v>164</v>
      </c>
      <c r="B354" s="105" t="s">
        <v>558</v>
      </c>
      <c r="C354" s="104">
        <v>349.07400000000001</v>
      </c>
      <c r="D354" s="104">
        <v>0.1239</v>
      </c>
    </row>
    <row r="355" spans="1:4" ht="14">
      <c r="A355" s="104">
        <v>7</v>
      </c>
      <c r="B355" s="105" t="s">
        <v>559</v>
      </c>
      <c r="C355" s="104">
        <v>4343.6559999999999</v>
      </c>
      <c r="D355" s="104">
        <v>1.5419</v>
      </c>
    </row>
    <row r="356" spans="1:4" ht="14">
      <c r="A356" s="104">
        <v>454</v>
      </c>
      <c r="B356" s="105" t="s">
        <v>561</v>
      </c>
      <c r="C356" s="104">
        <v>77.888999999999996</v>
      </c>
      <c r="D356" s="104">
        <v>2.76E-2</v>
      </c>
    </row>
    <row r="357" spans="1:4" ht="14">
      <c r="A357" s="104">
        <v>262</v>
      </c>
      <c r="B357" s="105" t="s">
        <v>562</v>
      </c>
      <c r="C357" s="104">
        <v>221.554</v>
      </c>
      <c r="D357" s="104">
        <v>7.8600000000000003E-2</v>
      </c>
    </row>
    <row r="358" spans="1:4" ht="14">
      <c r="A358" s="104">
        <v>122</v>
      </c>
      <c r="B358" s="105" t="s">
        <v>564</v>
      </c>
      <c r="C358" s="104">
        <v>507.69799999999998</v>
      </c>
      <c r="D358" s="104">
        <v>0.1802</v>
      </c>
    </row>
    <row r="359" spans="1:4" ht="14">
      <c r="A359" s="104">
        <v>428</v>
      </c>
      <c r="B359" s="105" t="s">
        <v>565</v>
      </c>
      <c r="C359" s="104">
        <v>94.311999999999998</v>
      </c>
      <c r="D359" s="104">
        <v>3.3500000000000002E-2</v>
      </c>
    </row>
    <row r="360" spans="1:4" ht="14">
      <c r="A360" s="104">
        <v>420</v>
      </c>
      <c r="B360" s="105" t="s">
        <v>566</v>
      </c>
      <c r="C360" s="104">
        <v>99.046000000000006</v>
      </c>
      <c r="D360" s="104">
        <v>3.5200000000000002E-2</v>
      </c>
    </row>
    <row r="361" spans="1:4" ht="14">
      <c r="A361" s="104">
        <v>124</v>
      </c>
      <c r="B361" s="105" t="s">
        <v>109</v>
      </c>
      <c r="C361" s="104">
        <v>504.43799999999999</v>
      </c>
      <c r="D361" s="104">
        <v>0.17910000000000001</v>
      </c>
    </row>
    <row r="362" spans="1:4" ht="14">
      <c r="A362" s="104">
        <v>2</v>
      </c>
      <c r="B362" s="105" t="s">
        <v>756</v>
      </c>
      <c r="C362" s="104">
        <v>6946.4070000000002</v>
      </c>
      <c r="D362" s="104">
        <v>2.4658000000000002</v>
      </c>
    </row>
    <row r="363" spans="1:4" ht="14">
      <c r="A363" s="104">
        <v>64</v>
      </c>
      <c r="B363" s="105" t="s">
        <v>569</v>
      </c>
      <c r="C363" s="104">
        <v>975.51800000000003</v>
      </c>
      <c r="D363" s="104">
        <v>0.3463</v>
      </c>
    </row>
    <row r="364" spans="1:4" ht="14">
      <c r="A364" s="104">
        <v>285</v>
      </c>
      <c r="B364" s="105" t="s">
        <v>571</v>
      </c>
      <c r="C364" s="104">
        <v>200.05600000000001</v>
      </c>
      <c r="D364" s="104">
        <v>7.0999999999999994E-2</v>
      </c>
    </row>
    <row r="365" spans="1:4" ht="14">
      <c r="A365" s="104">
        <v>439</v>
      </c>
      <c r="B365" s="105" t="s">
        <v>573</v>
      </c>
      <c r="C365" s="104">
        <v>86.751999999999995</v>
      </c>
      <c r="D365" s="104">
        <v>3.0800000000000001E-2</v>
      </c>
    </row>
    <row r="366" spans="1:4" ht="14">
      <c r="A366" s="104">
        <v>86</v>
      </c>
      <c r="B366" s="105" t="s">
        <v>82</v>
      </c>
      <c r="C366" s="104">
        <v>733.89800000000002</v>
      </c>
      <c r="D366" s="104">
        <v>0.26050000000000001</v>
      </c>
    </row>
    <row r="367" spans="1:4" ht="14">
      <c r="A367" s="104">
        <v>66</v>
      </c>
      <c r="B367" s="105" t="s">
        <v>575</v>
      </c>
      <c r="C367" s="104">
        <v>955.29899999999998</v>
      </c>
      <c r="D367" s="104">
        <v>0.33910000000000001</v>
      </c>
    </row>
    <row r="368" spans="1:4" ht="14">
      <c r="A368" s="104">
        <v>34</v>
      </c>
      <c r="B368" s="105" t="s">
        <v>143</v>
      </c>
      <c r="C368" s="104">
        <v>1780.796</v>
      </c>
      <c r="D368" s="104">
        <v>0.6321</v>
      </c>
    </row>
    <row r="369" spans="1:4" ht="14">
      <c r="A369" s="104">
        <v>350</v>
      </c>
      <c r="B369" s="105" t="s">
        <v>576</v>
      </c>
      <c r="C369" s="104">
        <v>139.767</v>
      </c>
      <c r="D369" s="104">
        <v>4.9599999999999998E-2</v>
      </c>
    </row>
    <row r="370" spans="1:4" ht="14">
      <c r="A370" s="104">
        <v>130</v>
      </c>
      <c r="B370" s="105" t="s">
        <v>31</v>
      </c>
      <c r="C370" s="104">
        <v>489.38</v>
      </c>
      <c r="D370" s="104">
        <v>0.17369999999999999</v>
      </c>
    </row>
    <row r="371" spans="1:4" ht="14">
      <c r="A371" s="104">
        <v>460</v>
      </c>
      <c r="B371" s="105" t="s">
        <v>577</v>
      </c>
      <c r="C371" s="104">
        <v>74.054000000000002</v>
      </c>
      <c r="D371" s="104">
        <v>2.63E-2</v>
      </c>
    </row>
    <row r="372" spans="1:4" ht="14">
      <c r="A372" s="104">
        <v>4</v>
      </c>
      <c r="B372" s="105" t="s">
        <v>579</v>
      </c>
      <c r="C372" s="104">
        <v>5195.6670000000004</v>
      </c>
      <c r="D372" s="104">
        <v>1.8444</v>
      </c>
    </row>
    <row r="373" spans="1:4" ht="14">
      <c r="A373" s="104">
        <v>45</v>
      </c>
      <c r="B373" s="105" t="s">
        <v>580</v>
      </c>
      <c r="C373" s="104">
        <v>1420.616</v>
      </c>
      <c r="D373" s="104">
        <v>0.50429999999999997</v>
      </c>
    </row>
    <row r="374" spans="1:4" ht="14">
      <c r="A374" s="104">
        <v>23</v>
      </c>
      <c r="B374" s="105" t="s">
        <v>181</v>
      </c>
      <c r="C374" s="104">
        <v>2414.1950000000002</v>
      </c>
      <c r="D374" s="104">
        <v>0.85699999999999998</v>
      </c>
    </row>
    <row r="375" spans="1:4" ht="14">
      <c r="A375" s="104">
        <v>92</v>
      </c>
      <c r="B375" s="105" t="s">
        <v>134</v>
      </c>
      <c r="C375" s="104">
        <v>679.34</v>
      </c>
      <c r="D375" s="104">
        <v>0.2412</v>
      </c>
    </row>
    <row r="376" spans="1:4" ht="14">
      <c r="A376" s="104">
        <v>62</v>
      </c>
      <c r="B376" s="105" t="s">
        <v>583</v>
      </c>
      <c r="C376" s="104">
        <v>1049.807</v>
      </c>
      <c r="D376" s="104">
        <v>0.37269999999999998</v>
      </c>
    </row>
    <row r="377" spans="1:4" ht="14">
      <c r="A377" s="104">
        <v>36</v>
      </c>
      <c r="B377" s="105" t="s">
        <v>584</v>
      </c>
      <c r="C377" s="104">
        <v>1710.8689999999999</v>
      </c>
      <c r="D377" s="104">
        <v>0.60729999999999995</v>
      </c>
    </row>
    <row r="378" spans="1:4" ht="14">
      <c r="A378" s="104">
        <v>369</v>
      </c>
      <c r="B378" s="105" t="s">
        <v>585</v>
      </c>
      <c r="C378" s="104">
        <v>126.09399999999999</v>
      </c>
      <c r="D378" s="104">
        <v>4.48E-2</v>
      </c>
    </row>
    <row r="379" spans="1:4" ht="14">
      <c r="A379" s="104">
        <v>281</v>
      </c>
      <c r="B379" s="105" t="s">
        <v>587</v>
      </c>
      <c r="C379" s="104">
        <v>203.44</v>
      </c>
      <c r="D379" s="104">
        <v>7.22E-2</v>
      </c>
    </row>
    <row r="380" spans="1:4" ht="14">
      <c r="A380" s="104">
        <v>134</v>
      </c>
      <c r="B380" s="105" t="s">
        <v>589</v>
      </c>
      <c r="C380" s="104">
        <v>467.77499999999998</v>
      </c>
      <c r="D380" s="104">
        <v>0.1661</v>
      </c>
    </row>
    <row r="381" spans="1:4" ht="14">
      <c r="A381" s="104">
        <v>155</v>
      </c>
      <c r="B381" s="105" t="s">
        <v>590</v>
      </c>
      <c r="C381" s="104">
        <v>367.202</v>
      </c>
      <c r="D381" s="104">
        <v>0.1303</v>
      </c>
    </row>
    <row r="382" spans="1:4" ht="14">
      <c r="A382" s="104">
        <v>372</v>
      </c>
      <c r="B382" s="105" t="s">
        <v>591</v>
      </c>
      <c r="C382" s="104">
        <v>125.595</v>
      </c>
      <c r="D382" s="104">
        <v>4.4600000000000001E-2</v>
      </c>
    </row>
    <row r="383" spans="1:4" ht="14">
      <c r="A383" s="104">
        <v>10</v>
      </c>
      <c r="B383" s="105" t="s">
        <v>593</v>
      </c>
      <c r="C383" s="104">
        <v>3616.69</v>
      </c>
      <c r="D383" s="104">
        <v>1.2838000000000001</v>
      </c>
    </row>
    <row r="384" spans="1:4" ht="14">
      <c r="A384" s="104">
        <v>451</v>
      </c>
      <c r="B384" s="105" t="s">
        <v>594</v>
      </c>
      <c r="C384" s="104">
        <v>78.67</v>
      </c>
      <c r="D384" s="104">
        <v>2.7900000000000001E-2</v>
      </c>
    </row>
    <row r="385" spans="1:4" ht="14">
      <c r="A385" s="104">
        <v>22</v>
      </c>
      <c r="B385" s="105" t="s">
        <v>596</v>
      </c>
      <c r="C385" s="104">
        <v>2508.453</v>
      </c>
      <c r="D385" s="104">
        <v>0.89039999999999997</v>
      </c>
    </row>
    <row r="386" spans="1:4" ht="14">
      <c r="A386" s="104">
        <v>15</v>
      </c>
      <c r="B386" s="105" t="s">
        <v>597</v>
      </c>
      <c r="C386" s="104">
        <v>3265.0039999999999</v>
      </c>
      <c r="D386" s="104">
        <v>1.159</v>
      </c>
    </row>
    <row r="387" spans="1:4" ht="14">
      <c r="A387" s="104">
        <v>6</v>
      </c>
      <c r="B387" s="105" t="s">
        <v>599</v>
      </c>
      <c r="C387" s="104">
        <v>5051.9040000000005</v>
      </c>
      <c r="D387" s="104">
        <v>1.7932999999999999</v>
      </c>
    </row>
    <row r="388" spans="1:4" ht="14">
      <c r="A388" s="104">
        <v>69</v>
      </c>
      <c r="B388" s="105" t="s">
        <v>84</v>
      </c>
      <c r="C388" s="104">
        <v>935.596</v>
      </c>
      <c r="D388" s="104">
        <v>0.33210000000000001</v>
      </c>
    </row>
    <row r="389" spans="1:4" ht="14">
      <c r="A389" s="104">
        <v>315</v>
      </c>
      <c r="B389" s="105" t="s">
        <v>601</v>
      </c>
      <c r="C389" s="104">
        <v>171.029</v>
      </c>
      <c r="D389" s="104">
        <v>6.0699999999999997E-2</v>
      </c>
    </row>
    <row r="390" spans="1:4" ht="14">
      <c r="A390" s="104">
        <v>452</v>
      </c>
      <c r="B390" s="105" t="s">
        <v>603</v>
      </c>
      <c r="C390" s="104">
        <v>78.319999999999993</v>
      </c>
      <c r="D390" s="104">
        <v>2.7799999999999998E-2</v>
      </c>
    </row>
    <row r="391" spans="1:4" ht="14">
      <c r="A391" s="104">
        <v>371</v>
      </c>
      <c r="B391" s="105" t="s">
        <v>604</v>
      </c>
      <c r="C391" s="104">
        <v>125.62</v>
      </c>
      <c r="D391" s="104">
        <v>4.4600000000000001E-2</v>
      </c>
    </row>
    <row r="392" spans="1:4" ht="14">
      <c r="A392" s="104">
        <v>423</v>
      </c>
      <c r="B392" s="105" t="s">
        <v>606</v>
      </c>
      <c r="C392" s="104">
        <v>98.125</v>
      </c>
      <c r="D392" s="104">
        <v>3.4799999999999998E-2</v>
      </c>
    </row>
    <row r="393" spans="1:4" ht="14">
      <c r="A393" s="104">
        <v>411</v>
      </c>
      <c r="B393" s="105" t="s">
        <v>607</v>
      </c>
      <c r="C393" s="104">
        <v>103.09399999999999</v>
      </c>
      <c r="D393" s="104">
        <v>3.6600000000000001E-2</v>
      </c>
    </row>
    <row r="394" spans="1:4" ht="14">
      <c r="A394" s="104">
        <v>472</v>
      </c>
      <c r="B394" s="105" t="s">
        <v>608</v>
      </c>
      <c r="C394" s="104">
        <v>63.692999999999998</v>
      </c>
      <c r="D394" s="104">
        <v>2.2599999999999999E-2</v>
      </c>
    </row>
    <row r="395" spans="1:4" ht="14">
      <c r="A395" s="104">
        <v>455</v>
      </c>
      <c r="B395" s="105" t="s">
        <v>609</v>
      </c>
      <c r="C395" s="104">
        <v>77.631</v>
      </c>
      <c r="D395" s="104">
        <v>2.76E-2</v>
      </c>
    </row>
    <row r="396" spans="1:4" ht="14">
      <c r="A396" s="104">
        <v>60</v>
      </c>
      <c r="B396" s="105" t="s">
        <v>610</v>
      </c>
      <c r="C396" s="104">
        <v>1071.8240000000001</v>
      </c>
      <c r="D396" s="104">
        <v>0.3805</v>
      </c>
    </row>
    <row r="397" spans="1:4" ht="14">
      <c r="A397" s="104">
        <v>173</v>
      </c>
      <c r="B397" s="105" t="s">
        <v>612</v>
      </c>
      <c r="C397" s="104">
        <v>335.28699999999998</v>
      </c>
      <c r="D397" s="104">
        <v>0.11899999999999999</v>
      </c>
    </row>
    <row r="398" spans="1:4" ht="14">
      <c r="A398" s="104">
        <v>485</v>
      </c>
      <c r="B398" s="105" t="s">
        <v>614</v>
      </c>
      <c r="C398" s="104">
        <v>55.209000000000003</v>
      </c>
      <c r="D398" s="104">
        <v>1.9599999999999999E-2</v>
      </c>
    </row>
    <row r="399" spans="1:4" ht="14">
      <c r="A399" s="104">
        <v>57</v>
      </c>
      <c r="B399" s="105" t="s">
        <v>616</v>
      </c>
      <c r="C399" s="104">
        <v>1173.9069999999999</v>
      </c>
      <c r="D399" s="104">
        <v>0.41670000000000001</v>
      </c>
    </row>
    <row r="400" spans="1:4" ht="14">
      <c r="A400" s="104">
        <v>412</v>
      </c>
      <c r="B400" s="105" t="s">
        <v>617</v>
      </c>
      <c r="C400" s="104">
        <v>103.012</v>
      </c>
      <c r="D400" s="104">
        <v>3.6600000000000001E-2</v>
      </c>
    </row>
    <row r="401" spans="1:4" ht="14">
      <c r="A401" s="104">
        <v>31</v>
      </c>
      <c r="B401" s="105" t="s">
        <v>618</v>
      </c>
      <c r="C401" s="104">
        <v>2036.125</v>
      </c>
      <c r="D401" s="104">
        <v>0.7228</v>
      </c>
    </row>
    <row r="402" spans="1:4" ht="14">
      <c r="A402" s="104">
        <v>50</v>
      </c>
      <c r="B402" s="105" t="s">
        <v>619</v>
      </c>
      <c r="C402" s="104">
        <v>1295.5219999999999</v>
      </c>
      <c r="D402" s="104">
        <v>0.45989999999999998</v>
      </c>
    </row>
    <row r="403" spans="1:4" ht="14">
      <c r="A403" s="104">
        <v>227</v>
      </c>
      <c r="B403" s="105" t="s">
        <v>621</v>
      </c>
      <c r="C403" s="104">
        <v>256.35500000000002</v>
      </c>
      <c r="D403" s="104">
        <v>9.0999999999999998E-2</v>
      </c>
    </row>
    <row r="404" spans="1:4" ht="14">
      <c r="A404" s="104">
        <v>314</v>
      </c>
      <c r="B404" s="105" t="s">
        <v>623</v>
      </c>
      <c r="C404" s="104">
        <v>171.197</v>
      </c>
      <c r="D404" s="104">
        <v>6.08E-2</v>
      </c>
    </row>
    <row r="405" spans="1:4" ht="14">
      <c r="A405" s="104">
        <v>94</v>
      </c>
      <c r="B405" s="105" t="s">
        <v>624</v>
      </c>
      <c r="C405" s="104">
        <v>669.54700000000003</v>
      </c>
      <c r="D405" s="104">
        <v>0.23769999999999999</v>
      </c>
    </row>
    <row r="406" spans="1:4" ht="14">
      <c r="A406" s="104">
        <v>53</v>
      </c>
      <c r="B406" s="105" t="s">
        <v>625</v>
      </c>
      <c r="C406" s="104">
        <v>1228.4469999999999</v>
      </c>
      <c r="D406" s="104">
        <v>0.43609999999999999</v>
      </c>
    </row>
    <row r="407" spans="1:4" ht="14">
      <c r="A407" s="104">
        <v>131</v>
      </c>
      <c r="B407" s="105" t="s">
        <v>626</v>
      </c>
      <c r="C407" s="104">
        <v>485.58800000000002</v>
      </c>
      <c r="D407" s="104">
        <v>0.1724</v>
      </c>
    </row>
    <row r="408" spans="1:4" ht="14">
      <c r="A408" s="104">
        <v>259</v>
      </c>
      <c r="B408" s="105" t="s">
        <v>627</v>
      </c>
      <c r="C408" s="104">
        <v>223.94200000000001</v>
      </c>
      <c r="D408" s="104">
        <v>7.9500000000000001E-2</v>
      </c>
    </row>
    <row r="409" spans="1:4" ht="14">
      <c r="A409" s="104">
        <v>494</v>
      </c>
      <c r="B409" s="105" t="s">
        <v>628</v>
      </c>
      <c r="C409" s="104">
        <v>35.061999999999998</v>
      </c>
      <c r="D409" s="104">
        <v>1.24E-2</v>
      </c>
    </row>
    <row r="410" spans="1:4" ht="14">
      <c r="A410" s="104">
        <v>448</v>
      </c>
      <c r="B410" s="105" t="s">
        <v>629</v>
      </c>
      <c r="C410" s="104">
        <v>79.894000000000005</v>
      </c>
      <c r="D410" s="104">
        <v>2.8400000000000002E-2</v>
      </c>
    </row>
    <row r="411" spans="1:4" ht="14">
      <c r="A411" s="104">
        <v>403</v>
      </c>
      <c r="B411" s="105" t="s">
        <v>630</v>
      </c>
      <c r="C411" s="104">
        <v>107.559</v>
      </c>
      <c r="D411" s="104">
        <v>3.8199999999999998E-2</v>
      </c>
    </row>
    <row r="412" spans="1:4" ht="14">
      <c r="A412" s="104">
        <v>72</v>
      </c>
      <c r="B412" s="105" t="s">
        <v>631</v>
      </c>
      <c r="C412" s="104">
        <v>873.73400000000004</v>
      </c>
      <c r="D412" s="104">
        <v>0.31019999999999998</v>
      </c>
    </row>
    <row r="413" spans="1:4" ht="14">
      <c r="A413" s="104">
        <v>394</v>
      </c>
      <c r="B413" s="105" t="s">
        <v>632</v>
      </c>
      <c r="C413" s="104">
        <v>112.587</v>
      </c>
      <c r="D413" s="104">
        <v>0.04</v>
      </c>
    </row>
    <row r="414" spans="1:4" ht="14">
      <c r="A414" s="104">
        <v>27</v>
      </c>
      <c r="B414" s="105" t="s">
        <v>633</v>
      </c>
      <c r="C414" s="104">
        <v>2204.779</v>
      </c>
      <c r="D414" s="104">
        <v>0.78259999999999996</v>
      </c>
    </row>
    <row r="415" spans="1:4" ht="14">
      <c r="A415" s="104">
        <v>333</v>
      </c>
      <c r="B415" s="105" t="s">
        <v>634</v>
      </c>
      <c r="C415" s="104">
        <v>154.44999999999999</v>
      </c>
      <c r="D415" s="104">
        <v>5.4800000000000001E-2</v>
      </c>
    </row>
    <row r="416" spans="1:4" ht="14">
      <c r="A416" s="104">
        <v>433</v>
      </c>
      <c r="B416" s="105" t="s">
        <v>635</v>
      </c>
      <c r="C416" s="104">
        <v>91.897999999999996</v>
      </c>
      <c r="D416" s="104">
        <v>3.2599999999999997E-2</v>
      </c>
    </row>
    <row r="417" spans="1:4" ht="14">
      <c r="A417" s="104">
        <v>404</v>
      </c>
      <c r="B417" s="105" t="s">
        <v>637</v>
      </c>
      <c r="C417" s="104">
        <v>107.402</v>
      </c>
      <c r="D417" s="104">
        <v>3.8100000000000002E-2</v>
      </c>
    </row>
    <row r="418" spans="1:4" ht="14">
      <c r="A418" s="104">
        <v>496</v>
      </c>
      <c r="B418" s="105" t="s">
        <v>638</v>
      </c>
      <c r="C418" s="104">
        <v>32.104999999999997</v>
      </c>
      <c r="D418" s="104">
        <v>1.14E-2</v>
      </c>
    </row>
    <row r="419" spans="1:4" ht="14">
      <c r="A419" s="104">
        <v>58</v>
      </c>
      <c r="B419" s="105" t="s">
        <v>640</v>
      </c>
      <c r="C419" s="104">
        <v>1172.6400000000001</v>
      </c>
      <c r="D419" s="104">
        <v>0.4163</v>
      </c>
    </row>
    <row r="420" spans="1:4" ht="14">
      <c r="A420" s="104">
        <v>353</v>
      </c>
      <c r="B420" s="105" t="s">
        <v>641</v>
      </c>
      <c r="C420" s="104">
        <v>137.624</v>
      </c>
      <c r="D420" s="104">
        <v>4.8899999999999999E-2</v>
      </c>
    </row>
    <row r="421" spans="1:4" ht="14">
      <c r="A421" s="104">
        <v>482</v>
      </c>
      <c r="B421" s="105" t="s">
        <v>642</v>
      </c>
      <c r="C421" s="104">
        <v>58.308999999999997</v>
      </c>
      <c r="D421" s="104">
        <v>2.07E-2</v>
      </c>
    </row>
    <row r="422" spans="1:4" ht="14">
      <c r="A422" s="104">
        <v>162</v>
      </c>
      <c r="B422" s="105" t="s">
        <v>643</v>
      </c>
      <c r="C422" s="104">
        <v>352.96800000000002</v>
      </c>
      <c r="D422" s="104">
        <v>0.12529999999999999</v>
      </c>
    </row>
    <row r="423" spans="1:4" ht="14">
      <c r="A423" s="104">
        <v>191</v>
      </c>
      <c r="B423" s="105" t="s">
        <v>644</v>
      </c>
      <c r="C423" s="104">
        <v>300.827</v>
      </c>
      <c r="D423" s="104">
        <v>0.10680000000000001</v>
      </c>
    </row>
    <row r="424" spans="1:4" ht="14">
      <c r="A424" s="104">
        <v>382</v>
      </c>
      <c r="B424" s="105" t="s">
        <v>646</v>
      </c>
      <c r="C424" s="104">
        <v>119.297</v>
      </c>
      <c r="D424" s="104">
        <v>4.2299999999999997E-2</v>
      </c>
    </row>
    <row r="425" spans="1:4" ht="14">
      <c r="A425" s="104">
        <v>238</v>
      </c>
      <c r="B425" s="105" t="s">
        <v>647</v>
      </c>
      <c r="C425" s="104">
        <v>246.22200000000001</v>
      </c>
      <c r="D425" s="104">
        <v>8.7400000000000005E-2</v>
      </c>
    </row>
    <row r="426" spans="1:4" ht="14">
      <c r="A426" s="104">
        <v>307</v>
      </c>
      <c r="B426" s="105" t="s">
        <v>648</v>
      </c>
      <c r="C426" s="104">
        <v>176.471</v>
      </c>
      <c r="D426" s="104">
        <v>6.2600000000000003E-2</v>
      </c>
    </row>
    <row r="427" spans="1:4" ht="14">
      <c r="A427" s="104">
        <v>341</v>
      </c>
      <c r="B427" s="105" t="s">
        <v>650</v>
      </c>
      <c r="C427" s="104">
        <v>147.06800000000001</v>
      </c>
      <c r="D427" s="104">
        <v>5.2200000000000003E-2</v>
      </c>
    </row>
    <row r="428" spans="1:4" ht="14">
      <c r="A428" s="104">
        <v>205</v>
      </c>
      <c r="B428" s="105" t="s">
        <v>651</v>
      </c>
      <c r="C428" s="104">
        <v>282.13</v>
      </c>
      <c r="D428" s="104">
        <v>0.1002</v>
      </c>
    </row>
    <row r="429" spans="1:4" ht="14">
      <c r="A429" s="104">
        <v>323</v>
      </c>
      <c r="B429" s="105" t="s">
        <v>652</v>
      </c>
      <c r="C429" s="104">
        <v>163.31</v>
      </c>
      <c r="D429" s="104">
        <v>5.8000000000000003E-2</v>
      </c>
    </row>
    <row r="430" spans="1:4" ht="14">
      <c r="A430" s="104">
        <v>418</v>
      </c>
      <c r="B430" s="105" t="s">
        <v>653</v>
      </c>
      <c r="C430" s="104">
        <v>99.74</v>
      </c>
      <c r="D430" s="104">
        <v>3.5400000000000001E-2</v>
      </c>
    </row>
    <row r="431" spans="1:4" ht="14">
      <c r="A431" s="104">
        <v>139</v>
      </c>
      <c r="B431" s="105" t="s">
        <v>654</v>
      </c>
      <c r="C431" s="104">
        <v>440.17</v>
      </c>
      <c r="D431" s="104">
        <v>0.15629999999999999</v>
      </c>
    </row>
    <row r="432" spans="1:4" ht="14">
      <c r="A432" s="104">
        <v>234</v>
      </c>
      <c r="B432" s="105" t="s">
        <v>655</v>
      </c>
      <c r="C432" s="104">
        <v>252.01300000000001</v>
      </c>
      <c r="D432" s="104">
        <v>8.9499999999999996E-2</v>
      </c>
    </row>
    <row r="433" spans="1:4" ht="14">
      <c r="A433" s="104">
        <v>366</v>
      </c>
      <c r="B433" s="105" t="s">
        <v>656</v>
      </c>
      <c r="C433" s="104">
        <v>129.238</v>
      </c>
      <c r="D433" s="104">
        <v>4.5900000000000003E-2</v>
      </c>
    </row>
    <row r="434" spans="1:4" ht="14">
      <c r="A434" s="104">
        <v>318</v>
      </c>
      <c r="B434" s="105" t="s">
        <v>657</v>
      </c>
      <c r="C434" s="104">
        <v>167.59800000000001</v>
      </c>
      <c r="D434" s="104">
        <v>5.9499999999999997E-2</v>
      </c>
    </row>
    <row r="435" spans="1:4" ht="14">
      <c r="A435" s="104">
        <v>383</v>
      </c>
      <c r="B435" s="105" t="s">
        <v>659</v>
      </c>
      <c r="C435" s="104">
        <v>119.285</v>
      </c>
      <c r="D435" s="104">
        <v>4.2299999999999997E-2</v>
      </c>
    </row>
    <row r="436" spans="1:4" ht="14">
      <c r="A436" s="104">
        <v>118</v>
      </c>
      <c r="B436" s="105" t="s">
        <v>660</v>
      </c>
      <c r="C436" s="104">
        <v>510.233</v>
      </c>
      <c r="D436" s="104">
        <v>0.18110000000000001</v>
      </c>
    </row>
    <row r="437" spans="1:4" ht="14">
      <c r="A437" s="104">
        <v>367</v>
      </c>
      <c r="B437" s="105" t="s">
        <v>661</v>
      </c>
      <c r="C437" s="104">
        <v>128.37899999999999</v>
      </c>
      <c r="D437" s="104">
        <v>4.5600000000000002E-2</v>
      </c>
    </row>
    <row r="438" spans="1:4" ht="14">
      <c r="A438" s="104">
        <v>54</v>
      </c>
      <c r="B438" s="105" t="s">
        <v>112</v>
      </c>
      <c r="C438" s="104">
        <v>1215.056</v>
      </c>
      <c r="D438" s="104">
        <v>0.43130000000000002</v>
      </c>
    </row>
    <row r="439" spans="1:4" ht="14">
      <c r="A439" s="104">
        <v>427</v>
      </c>
      <c r="B439" s="105" t="s">
        <v>663</v>
      </c>
      <c r="C439" s="104">
        <v>94.754000000000005</v>
      </c>
      <c r="D439" s="104">
        <v>3.3599999999999998E-2</v>
      </c>
    </row>
    <row r="440" spans="1:4" ht="14">
      <c r="A440" s="104">
        <v>248</v>
      </c>
      <c r="B440" s="105" t="s">
        <v>664</v>
      </c>
      <c r="C440" s="104">
        <v>238.08199999999999</v>
      </c>
      <c r="D440" s="104">
        <v>8.4500000000000006E-2</v>
      </c>
    </row>
    <row r="441" spans="1:4" ht="14">
      <c r="A441" s="104">
        <v>303</v>
      </c>
      <c r="B441" s="105" t="s">
        <v>666</v>
      </c>
      <c r="C441" s="104">
        <v>179.935</v>
      </c>
      <c r="D441" s="104">
        <v>6.3899999999999998E-2</v>
      </c>
    </row>
    <row r="442" spans="1:4" ht="14">
      <c r="A442" s="104">
        <v>79</v>
      </c>
      <c r="B442" s="105" t="s">
        <v>668</v>
      </c>
      <c r="C442" s="104">
        <v>805.452</v>
      </c>
      <c r="D442" s="104">
        <v>0.28589999999999999</v>
      </c>
    </row>
    <row r="443" spans="1:4" ht="14">
      <c r="A443" s="104">
        <v>137</v>
      </c>
      <c r="B443" s="105" t="s">
        <v>670</v>
      </c>
      <c r="C443" s="104">
        <v>457.59500000000003</v>
      </c>
      <c r="D443" s="104">
        <v>0.16239999999999999</v>
      </c>
    </row>
    <row r="444" spans="1:4" ht="14">
      <c r="A444" s="104">
        <v>163</v>
      </c>
      <c r="B444" s="105" t="s">
        <v>672</v>
      </c>
      <c r="C444" s="104">
        <v>349.96699999999998</v>
      </c>
      <c r="D444" s="104">
        <v>0.1242</v>
      </c>
    </row>
    <row r="445" spans="1:4" ht="14">
      <c r="A445" s="104">
        <v>457</v>
      </c>
      <c r="B445" s="105" t="s">
        <v>674</v>
      </c>
      <c r="C445" s="104">
        <v>76.917000000000002</v>
      </c>
      <c r="D445" s="104">
        <v>2.7300000000000001E-2</v>
      </c>
    </row>
    <row r="446" spans="1:4" ht="14">
      <c r="A446" s="104">
        <v>101</v>
      </c>
      <c r="B446" s="105" t="s">
        <v>675</v>
      </c>
      <c r="C446" s="104">
        <v>610.10599999999999</v>
      </c>
      <c r="D446" s="104">
        <v>0.21659999999999999</v>
      </c>
    </row>
    <row r="447" spans="1:4" ht="14">
      <c r="A447" s="104">
        <v>172</v>
      </c>
      <c r="B447" s="105" t="s">
        <v>676</v>
      </c>
      <c r="C447" s="104">
        <v>337.49799999999999</v>
      </c>
      <c r="D447" s="104">
        <v>0.1198</v>
      </c>
    </row>
    <row r="448" spans="1:4" ht="14">
      <c r="A448" s="104">
        <v>348</v>
      </c>
      <c r="B448" s="105" t="s">
        <v>677</v>
      </c>
      <c r="C448" s="104">
        <v>142.27500000000001</v>
      </c>
      <c r="D448" s="104">
        <v>5.0500000000000003E-2</v>
      </c>
    </row>
    <row r="449" spans="1:4" ht="14">
      <c r="A449" s="104">
        <v>305</v>
      </c>
      <c r="B449" s="105" t="s">
        <v>678</v>
      </c>
      <c r="C449" s="104">
        <v>178.524</v>
      </c>
      <c r="D449" s="104">
        <v>6.3399999999999998E-2</v>
      </c>
    </row>
    <row r="450" spans="1:4" ht="14">
      <c r="A450" s="104">
        <v>391</v>
      </c>
      <c r="B450" s="105" t="s">
        <v>680</v>
      </c>
      <c r="C450" s="104">
        <v>113.944</v>
      </c>
      <c r="D450" s="104">
        <v>4.0399999999999998E-2</v>
      </c>
    </row>
    <row r="451" spans="1:4" ht="14">
      <c r="A451" s="104">
        <v>249</v>
      </c>
      <c r="B451" s="105" t="s">
        <v>682</v>
      </c>
      <c r="C451" s="104">
        <v>236.196</v>
      </c>
      <c r="D451" s="104">
        <v>8.3799999999999999E-2</v>
      </c>
    </row>
    <row r="452" spans="1:4" ht="14">
      <c r="A452" s="104">
        <v>282</v>
      </c>
      <c r="B452" s="105" t="s">
        <v>683</v>
      </c>
      <c r="C452" s="104">
        <v>203.00200000000001</v>
      </c>
      <c r="D452" s="104">
        <v>7.2099999999999997E-2</v>
      </c>
    </row>
    <row r="453" spans="1:4" ht="14">
      <c r="A453" s="104">
        <v>324</v>
      </c>
      <c r="B453" s="105" t="s">
        <v>684</v>
      </c>
      <c r="C453" s="104">
        <v>161.624</v>
      </c>
      <c r="D453" s="104">
        <v>5.74E-2</v>
      </c>
    </row>
    <row r="454" spans="1:4" ht="14">
      <c r="A454" s="104">
        <v>347</v>
      </c>
      <c r="B454" s="105" t="s">
        <v>686</v>
      </c>
      <c r="C454" s="104">
        <v>142.87799999999999</v>
      </c>
      <c r="D454" s="104">
        <v>5.0700000000000002E-2</v>
      </c>
    </row>
    <row r="455" spans="1:4" ht="14">
      <c r="A455" s="104">
        <v>447</v>
      </c>
      <c r="B455" s="105" t="s">
        <v>688</v>
      </c>
      <c r="C455" s="104">
        <v>80.680999999999997</v>
      </c>
      <c r="D455" s="104">
        <v>2.86E-2</v>
      </c>
    </row>
    <row r="456" spans="1:4" ht="14">
      <c r="A456" s="104">
        <v>340</v>
      </c>
      <c r="B456" s="105" t="s">
        <v>689</v>
      </c>
      <c r="C456" s="104">
        <v>148.601</v>
      </c>
      <c r="D456" s="104">
        <v>5.28E-2</v>
      </c>
    </row>
    <row r="457" spans="1:4" ht="14">
      <c r="A457" s="104">
        <v>235</v>
      </c>
      <c r="B457" s="105" t="s">
        <v>691</v>
      </c>
      <c r="C457" s="104">
        <v>251.483</v>
      </c>
      <c r="D457" s="104">
        <v>8.9300000000000004E-2</v>
      </c>
    </row>
    <row r="458" spans="1:4" ht="14">
      <c r="A458" s="104">
        <v>293</v>
      </c>
      <c r="B458" s="105" t="s">
        <v>692</v>
      </c>
      <c r="C458" s="104">
        <v>184.93100000000001</v>
      </c>
      <c r="D458" s="104">
        <v>6.5600000000000006E-2</v>
      </c>
    </row>
    <row r="459" spans="1:4" ht="14">
      <c r="A459" s="104">
        <v>147</v>
      </c>
      <c r="B459" s="105" t="s">
        <v>693</v>
      </c>
      <c r="C459" s="104">
        <v>421.40300000000002</v>
      </c>
      <c r="D459" s="104">
        <v>0.14960000000000001</v>
      </c>
    </row>
    <row r="460" spans="1:4" ht="14">
      <c r="A460" s="104">
        <v>271</v>
      </c>
      <c r="B460" s="105" t="s">
        <v>694</v>
      </c>
      <c r="C460" s="104">
        <v>217.3</v>
      </c>
      <c r="D460" s="104">
        <v>7.7100000000000002E-2</v>
      </c>
    </row>
    <row r="461" spans="1:4" ht="14">
      <c r="A461" s="104">
        <v>302</v>
      </c>
      <c r="B461" s="105" t="s">
        <v>696</v>
      </c>
      <c r="C461" s="104">
        <v>180.59899999999999</v>
      </c>
      <c r="D461" s="104">
        <v>6.4100000000000004E-2</v>
      </c>
    </row>
    <row r="462" spans="1:4" ht="14">
      <c r="A462" s="104">
        <v>215</v>
      </c>
      <c r="B462" s="105" t="s">
        <v>101</v>
      </c>
      <c r="C462" s="104">
        <v>268.625</v>
      </c>
      <c r="D462" s="104">
        <v>9.5399999999999999E-2</v>
      </c>
    </row>
    <row r="463" spans="1:4" ht="14">
      <c r="A463" s="104">
        <v>217</v>
      </c>
      <c r="B463" s="105" t="s">
        <v>698</v>
      </c>
      <c r="C463" s="104">
        <v>268.41699999999997</v>
      </c>
      <c r="D463" s="104">
        <v>9.5299999999999996E-2</v>
      </c>
    </row>
    <row r="464" spans="1:4" ht="14">
      <c r="A464" s="104">
        <v>78</v>
      </c>
      <c r="B464" s="105" t="s">
        <v>700</v>
      </c>
      <c r="C464" s="104">
        <v>817.625</v>
      </c>
      <c r="D464" s="104">
        <v>0.29020000000000001</v>
      </c>
    </row>
    <row r="465" spans="1:4" ht="14">
      <c r="A465" s="104">
        <v>300</v>
      </c>
      <c r="B465" s="105" t="s">
        <v>702</v>
      </c>
      <c r="C465" s="104">
        <v>181.19800000000001</v>
      </c>
      <c r="D465" s="104">
        <v>6.4299999999999996E-2</v>
      </c>
    </row>
    <row r="466" spans="1:4" ht="14">
      <c r="A466" s="104">
        <v>270</v>
      </c>
      <c r="B466" s="105" t="s">
        <v>703</v>
      </c>
      <c r="C466" s="104">
        <v>217.30199999999999</v>
      </c>
      <c r="D466" s="104">
        <v>7.7100000000000002E-2</v>
      </c>
    </row>
    <row r="467" spans="1:4" ht="14">
      <c r="A467" s="104">
        <v>355</v>
      </c>
      <c r="B467" s="105" t="s">
        <v>704</v>
      </c>
      <c r="C467" s="104">
        <v>135.24299999999999</v>
      </c>
      <c r="D467" s="104">
        <v>4.8000000000000001E-2</v>
      </c>
    </row>
    <row r="468" spans="1:4" ht="14">
      <c r="A468" s="104">
        <v>25</v>
      </c>
      <c r="B468" s="105" t="s">
        <v>706</v>
      </c>
      <c r="C468" s="104">
        <v>2253.23</v>
      </c>
      <c r="D468" s="104">
        <v>0.79979999999999996</v>
      </c>
    </row>
    <row r="469" spans="1:4" ht="14">
      <c r="A469" s="104">
        <v>481</v>
      </c>
      <c r="B469" s="105" t="s">
        <v>707</v>
      </c>
      <c r="C469" s="104">
        <v>59.447000000000003</v>
      </c>
      <c r="D469" s="104">
        <v>2.1100000000000001E-2</v>
      </c>
    </row>
    <row r="470" spans="1:4" ht="14">
      <c r="A470" s="104">
        <v>187</v>
      </c>
      <c r="B470" s="105" t="s">
        <v>709</v>
      </c>
      <c r="C470" s="104">
        <v>307.70999999999998</v>
      </c>
      <c r="D470" s="104">
        <v>0.10920000000000001</v>
      </c>
    </row>
    <row r="471" spans="1:4" ht="14">
      <c r="A471" s="104">
        <v>232</v>
      </c>
      <c r="B471" s="105" t="s">
        <v>710</v>
      </c>
      <c r="C471" s="104">
        <v>253.63499999999999</v>
      </c>
      <c r="D471" s="104">
        <v>0.09</v>
      </c>
    </row>
    <row r="472" spans="1:4" ht="14">
      <c r="A472" s="104">
        <v>370</v>
      </c>
      <c r="B472" s="105" t="s">
        <v>711</v>
      </c>
      <c r="C472" s="104">
        <v>125.876</v>
      </c>
      <c r="D472" s="104">
        <v>4.4699999999999997E-2</v>
      </c>
    </row>
    <row r="473" spans="1:4" ht="14">
      <c r="A473" s="104">
        <v>364</v>
      </c>
      <c r="B473" s="105" t="s">
        <v>712</v>
      </c>
      <c r="C473" s="104">
        <v>131.154</v>
      </c>
      <c r="D473" s="104">
        <v>4.6600000000000003E-2</v>
      </c>
    </row>
    <row r="474" spans="1:4" ht="14">
      <c r="A474" s="104">
        <v>104</v>
      </c>
      <c r="B474" s="105" t="s">
        <v>713</v>
      </c>
      <c r="C474" s="104">
        <v>602.38699999999994</v>
      </c>
      <c r="D474" s="104">
        <v>0.21379999999999999</v>
      </c>
    </row>
    <row r="475" spans="1:4" ht="14">
      <c r="A475" s="104">
        <v>3</v>
      </c>
      <c r="B475" s="105" t="s">
        <v>714</v>
      </c>
      <c r="C475" s="104">
        <v>5702.098</v>
      </c>
      <c r="D475" s="104">
        <v>2.0240999999999998</v>
      </c>
    </row>
    <row r="476" spans="1:4" ht="14">
      <c r="A476" s="104">
        <v>28</v>
      </c>
      <c r="B476" s="105" t="s">
        <v>125</v>
      </c>
      <c r="C476" s="104">
        <v>2124.422</v>
      </c>
      <c r="D476" s="104">
        <v>0.75409999999999999</v>
      </c>
    </row>
    <row r="477" spans="1:4" ht="14">
      <c r="A477" s="104">
        <v>177</v>
      </c>
      <c r="B477" s="105" t="s">
        <v>716</v>
      </c>
      <c r="C477" s="104">
        <v>328.27199999999999</v>
      </c>
      <c r="D477" s="104">
        <v>0.11650000000000001</v>
      </c>
    </row>
    <row r="478" spans="1:4" ht="14">
      <c r="A478" s="104">
        <v>490</v>
      </c>
      <c r="B478" s="105" t="s">
        <v>717</v>
      </c>
      <c r="C478" s="104">
        <v>45.085000000000001</v>
      </c>
      <c r="D478" s="104">
        <v>1.6E-2</v>
      </c>
    </row>
    <row r="479" spans="1:4" ht="14">
      <c r="A479" s="104">
        <v>176</v>
      </c>
      <c r="B479" s="105" t="s">
        <v>718</v>
      </c>
      <c r="C479" s="104">
        <v>329.72699999999998</v>
      </c>
      <c r="D479" s="104">
        <v>0.11700000000000001</v>
      </c>
    </row>
    <row r="480" spans="1:4" ht="14">
      <c r="A480" s="104">
        <v>471</v>
      </c>
      <c r="B480" s="105" t="s">
        <v>719</v>
      </c>
      <c r="C480" s="104">
        <v>64.905000000000001</v>
      </c>
      <c r="D480" s="104">
        <v>2.3E-2</v>
      </c>
    </row>
    <row r="481" spans="1:4" ht="14">
      <c r="A481" s="104">
        <v>84</v>
      </c>
      <c r="B481" s="105" t="s">
        <v>721</v>
      </c>
      <c r="C481" s="104">
        <v>771.80600000000004</v>
      </c>
      <c r="D481" s="104">
        <v>0.27400000000000002</v>
      </c>
    </row>
    <row r="482" spans="1:4" ht="14">
      <c r="A482" s="104">
        <v>186</v>
      </c>
      <c r="B482" s="105" t="s">
        <v>723</v>
      </c>
      <c r="C482" s="104">
        <v>309.62099999999998</v>
      </c>
      <c r="D482" s="104">
        <v>0.1099</v>
      </c>
    </row>
    <row r="483" spans="1:4" ht="14">
      <c r="A483" s="104">
        <v>201</v>
      </c>
      <c r="B483" s="105" t="s">
        <v>725</v>
      </c>
      <c r="C483" s="104">
        <v>289.464</v>
      </c>
      <c r="D483" s="104">
        <v>0.1028</v>
      </c>
    </row>
    <row r="484" spans="1:4" ht="14">
      <c r="A484" s="104">
        <v>393</v>
      </c>
      <c r="B484" s="105" t="s">
        <v>726</v>
      </c>
      <c r="C484" s="104">
        <v>113.622</v>
      </c>
      <c r="D484" s="104">
        <v>4.0300000000000002E-2</v>
      </c>
    </row>
    <row r="485" spans="1:4" ht="14">
      <c r="A485" s="104">
        <v>218</v>
      </c>
      <c r="B485" s="105" t="s">
        <v>727</v>
      </c>
      <c r="C485" s="104">
        <v>268.072</v>
      </c>
      <c r="D485" s="104">
        <v>9.5200000000000007E-2</v>
      </c>
    </row>
    <row r="486" spans="1:4" ht="14">
      <c r="A486" s="104">
        <v>43</v>
      </c>
      <c r="B486" s="105" t="s">
        <v>728</v>
      </c>
      <c r="C486" s="104">
        <v>1496.5150000000001</v>
      </c>
      <c r="D486" s="104">
        <v>0.53120000000000001</v>
      </c>
    </row>
    <row r="487" spans="1:4" ht="14">
      <c r="A487" s="104">
        <v>289</v>
      </c>
      <c r="B487" s="105" t="s">
        <v>729</v>
      </c>
      <c r="C487" s="104">
        <v>193.02500000000001</v>
      </c>
      <c r="D487" s="104">
        <v>6.8500000000000005E-2</v>
      </c>
    </row>
    <row r="488" spans="1:4" ht="14">
      <c r="A488" s="104">
        <v>247</v>
      </c>
      <c r="B488" s="105" t="s">
        <v>730</v>
      </c>
      <c r="C488" s="104">
        <v>238.13300000000001</v>
      </c>
      <c r="D488" s="104">
        <v>8.4500000000000006E-2</v>
      </c>
    </row>
    <row r="489" spans="1:4" ht="14">
      <c r="A489" s="104">
        <v>402</v>
      </c>
      <c r="B489" s="105" t="s">
        <v>732</v>
      </c>
      <c r="C489" s="104">
        <v>107.652</v>
      </c>
      <c r="D489" s="104">
        <v>3.8199999999999998E-2</v>
      </c>
    </row>
    <row r="490" spans="1:4" ht="14">
      <c r="A490" s="104">
        <v>335</v>
      </c>
      <c r="B490" s="105" t="s">
        <v>733</v>
      </c>
      <c r="C490" s="104">
        <v>151.69499999999999</v>
      </c>
      <c r="D490" s="104">
        <v>5.3800000000000001E-2</v>
      </c>
    </row>
    <row r="491" spans="1:4" ht="14">
      <c r="A491" s="104">
        <v>301</v>
      </c>
      <c r="B491" s="105" t="s">
        <v>735</v>
      </c>
      <c r="C491" s="104">
        <v>181.06100000000001</v>
      </c>
      <c r="D491" s="104">
        <v>6.4299999999999996E-2</v>
      </c>
    </row>
    <row r="492" spans="1:4" ht="14">
      <c r="A492" s="104">
        <v>121</v>
      </c>
      <c r="B492" s="105" t="s">
        <v>736</v>
      </c>
      <c r="C492" s="104">
        <v>508.27800000000002</v>
      </c>
      <c r="D492" s="104">
        <v>0.1804</v>
      </c>
    </row>
    <row r="493" spans="1:4" ht="14">
      <c r="A493" s="104">
        <v>381</v>
      </c>
      <c r="B493" s="105" t="s">
        <v>737</v>
      </c>
      <c r="C493" s="104">
        <v>119.327</v>
      </c>
      <c r="D493" s="104">
        <v>4.24E-2</v>
      </c>
    </row>
    <row r="494" spans="1:4" ht="14">
      <c r="A494" s="104">
        <v>456</v>
      </c>
      <c r="B494" s="105" t="s">
        <v>738</v>
      </c>
      <c r="C494" s="104">
        <v>77.63</v>
      </c>
      <c r="D494" s="104">
        <v>2.76E-2</v>
      </c>
    </row>
    <row r="495" spans="1:4" ht="14">
      <c r="A495" s="104">
        <v>435</v>
      </c>
      <c r="B495" s="105" t="s">
        <v>739</v>
      </c>
      <c r="C495" s="104">
        <v>90.022000000000006</v>
      </c>
      <c r="D495" s="104">
        <v>3.2000000000000001E-2</v>
      </c>
    </row>
    <row r="496" spans="1:4" ht="14">
      <c r="A496" s="104">
        <v>226</v>
      </c>
      <c r="B496" s="105" t="s">
        <v>740</v>
      </c>
      <c r="C496" s="104">
        <v>258.31200000000001</v>
      </c>
      <c r="D496" s="104">
        <v>9.1700000000000004E-2</v>
      </c>
    </row>
    <row r="497" spans="1:4" ht="14">
      <c r="A497" s="104">
        <v>473</v>
      </c>
      <c r="B497" s="105" t="s">
        <v>742</v>
      </c>
      <c r="C497" s="104">
        <v>63.664999999999999</v>
      </c>
      <c r="D497" s="104">
        <v>2.2599999999999999E-2</v>
      </c>
    </row>
    <row r="498" spans="1:4" ht="14">
      <c r="A498" s="104">
        <v>479</v>
      </c>
      <c r="B498" s="105" t="s">
        <v>743</v>
      </c>
      <c r="C498" s="104">
        <v>60.798999999999999</v>
      </c>
      <c r="D498" s="104">
        <v>2.1600000000000001E-2</v>
      </c>
    </row>
  </sheetData>
  <autoFilter ref="A1:Z498" xr:uid="{00000000-0009-0000-0000-000003000000}">
    <filterColumn colId="1">
      <filters>
        <filter val="Aceguá"/>
        <filter val="Água Santa"/>
        <filter val="Ajuricaba"/>
        <filter val="Alecrim"/>
        <filter val="Alegrete"/>
        <filter val="Alegria"/>
        <filter val="Almirante Tamandaré do Sul"/>
        <filter val="Alpestre"/>
        <filter val="Alto Alegre"/>
        <filter val="Alto Feliz"/>
        <filter val="Alvorada"/>
        <filter val="Amaral Ferrador"/>
        <filter val="Ametista do Sul"/>
        <filter val="André da Rocha"/>
        <filter val="Anta Gorda"/>
        <filter val="Antônio Prado"/>
        <filter val="Arambaré"/>
        <filter val="Araricá"/>
        <filter val="Aratiba"/>
        <filter val="Arroio do Meio"/>
        <filter val="Arroio do Padre"/>
        <filter val="Arroio do Sal"/>
        <filter val="Arroio do Tigre"/>
        <filter val="Arroio dos Ratos"/>
        <filter val="Arroio Grande"/>
        <filter val="Arvorezinha"/>
        <filter val="Augusto Pestana"/>
        <filter val="Áurea"/>
        <filter val="Bagé"/>
        <filter val="Balneário Pinhal"/>
        <filter val="Barão"/>
        <filter val="Barão de Cotegipe"/>
        <filter val="Barão do Triunfo"/>
        <filter val="Barra do Guarita"/>
        <filter val="Barra do Quaraí"/>
        <filter val="Barra do Ribeiro"/>
        <filter val="Barra do Rio Azul"/>
        <filter val="Barra Funda"/>
        <filter val="Barracão"/>
        <filter val="Barros Cassal"/>
        <filter val="Benjamin Constant do Sul"/>
        <filter val="Bento Gonçalves"/>
        <filter val="Boa Vista das Missões"/>
        <filter val="Boa Vista do Buricá"/>
        <filter val="Boa Vista do Cadeado"/>
        <filter val="Boa Vista do Incra"/>
        <filter val="Boa Vista do Sul"/>
        <filter val="Bom Jesus"/>
        <filter val="Bom Princípio"/>
        <filter val="Bom Progresso"/>
        <filter val="Bom Retiro do Sul"/>
        <filter val="Boqueirão do Leão"/>
        <filter val="Bossoroca"/>
        <filter val="Bozano"/>
        <filter val="Braga"/>
        <filter val="Brochier"/>
        <filter val="Butiá"/>
        <filter val="Caçapava do Sul"/>
        <filter val="Cacequi"/>
        <filter val="Cachoeira do Sul"/>
        <filter val="Cachoeirinha"/>
        <filter val="Cacique Doble"/>
        <filter val="Caibaté"/>
        <filter val="Caiçara"/>
        <filter val="Camaquã"/>
        <filter val="Camargo"/>
        <filter val="Cambará do Sul"/>
        <filter val="Campestre da Serra"/>
        <filter val="Campina das Missões"/>
        <filter val="Campinas do Sul"/>
        <filter val="Campo Bom"/>
        <filter val="Campo Novo"/>
        <filter val="Campos Borges"/>
        <filter val="Candelária"/>
        <filter val="Cândido Godói"/>
        <filter val="Candiota"/>
        <filter val="Canela"/>
        <filter val="Canguçu"/>
        <filter val="Canoas"/>
        <filter val="Canudos do Vale"/>
        <filter val="Capão Bonito do Sul"/>
        <filter val="Capão da Canoa"/>
        <filter val="Capão do Cipó"/>
        <filter val="Capão do Leão"/>
        <filter val="Capela de Santana"/>
        <filter val="Capitão"/>
        <filter val="Capivari do Sul"/>
        <filter val="Caraá"/>
        <filter val="Carazinho"/>
        <filter val="Carlos Barbosa"/>
        <filter val="Carlos Gomes"/>
        <filter val="Casca"/>
        <filter val="Caseiros"/>
        <filter val="Catuípe"/>
        <filter val="Caxias do Sul"/>
        <filter val="Centenário"/>
        <filter val="Cerrito"/>
        <filter val="Cerro Branco"/>
        <filter val="Cerro Grande"/>
        <filter val="Cerro Grande do Sul"/>
        <filter val="Cerro Largo"/>
        <filter val="Chapada"/>
        <filter val="Charqueadas"/>
        <filter val="Charrua"/>
        <filter val="Chiapetta"/>
        <filter val="Chuí"/>
        <filter val="Chuvisca"/>
        <filter val="Cidreira"/>
        <filter val="Ciríaco"/>
        <filter val="Colinas"/>
        <filter val="Colorado"/>
        <filter val="Condor"/>
        <filter val="Constantina"/>
        <filter val="Coqueiro Baixo"/>
        <filter val="Coqueiros do Sul"/>
        <filter val="Coronel Barros"/>
        <filter val="Coronel Bicaco"/>
        <filter val="Coronel Pilar"/>
        <filter val="Cotiporã"/>
        <filter val="Coxilha"/>
        <filter val="Crissiumal"/>
        <filter val="Cristal"/>
        <filter val="Cristal do Sul"/>
        <filter val="Cruz Alta"/>
        <filter val="Cruzaltense"/>
        <filter val="Cruzeiro do Sul"/>
        <filter val="David Canabarro"/>
        <filter val="Derrubadas"/>
        <filter val="Dezesseis de Novembro"/>
        <filter val="Dilermando de Aguiar"/>
        <filter val="Dois Irmãos"/>
        <filter val="Dois Irmãos das Missões"/>
        <filter val="Dois Lajeados"/>
        <filter val="Dom Feliciano"/>
        <filter val="Dom Pedrito"/>
        <filter val="Dom Pedro de Alcântara"/>
        <filter val="Dona Francisca"/>
        <filter val="Doutor Maurício Cardoso"/>
        <filter val="Doutor Ricardo"/>
        <filter val="Eldorado do Sul"/>
        <filter val="Encantado"/>
        <filter val="Encruzilhada do Sul"/>
        <filter val="Engenho Velho"/>
        <filter val="Entre Rios do Sul"/>
        <filter val="Entre-Ijuís"/>
        <filter val="Erebango"/>
        <filter val="Erechim"/>
        <filter val="Ernestina"/>
        <filter val="Erval Grande"/>
        <filter val="Erval Seco"/>
        <filter val="Esmeralda"/>
        <filter val="Esperança do Sul"/>
        <filter val="Espumoso"/>
        <filter val="Estação"/>
        <filter val="Estância Velha"/>
        <filter val="Esteio"/>
        <filter val="Estrela"/>
        <filter val="Estrela Velha"/>
        <filter val="Eugênio de Castro"/>
        <filter val="Fagundes Varela"/>
        <filter val="Farroupilha"/>
        <filter val="Faxinal do Soturno"/>
        <filter val="Faxinalzinho"/>
        <filter val="Fazenda Vilanova"/>
        <filter val="Feliz"/>
        <filter val="Flores da Cunha"/>
        <filter val="Floriano Peixoto"/>
        <filter val="Fontoura Xavier"/>
        <filter val="Formigueiro"/>
        <filter val="Forquetinha"/>
        <filter val="Fortaleza dos Valos"/>
        <filter val="Frederico Westphalen"/>
        <filter val="Garibaldi"/>
        <filter val="Garruchos"/>
        <filter val="Gaurama"/>
        <filter val="General Câmara"/>
        <filter val="Gentil"/>
        <filter val="Getúlio Vargas"/>
        <filter val="Giruá"/>
        <filter val="Glorinha"/>
        <filter val="Gramado"/>
        <filter val="Gramado dos Loureiros"/>
        <filter val="Gramado Xavier"/>
        <filter val="Gravataí"/>
        <filter val="Guabiju"/>
        <filter val="Guaíba"/>
        <filter val="Guaporé"/>
        <filter val="Guarani das Missões"/>
        <filter val="Harmonia"/>
        <filter val="Herval"/>
        <filter val="Herveiras"/>
        <filter val="Horizontina"/>
        <filter val="Hulha Negra"/>
        <filter val="Humaitá"/>
        <filter val="Ibarama"/>
        <filter val="Ibiaçá"/>
        <filter val="Ibiraiaras"/>
        <filter val="Ibirapuitã"/>
        <filter val="Ibirubá"/>
        <filter val="Igrejinha"/>
        <filter val="Ijuí"/>
        <filter val="Ilópolis"/>
        <filter val="Imbé"/>
        <filter val="Imigrante"/>
        <filter val="Independência"/>
        <filter val="Inhacorá"/>
        <filter val="Ipê"/>
        <filter val="Ipiranga do Sul"/>
        <filter val="Iraí"/>
        <filter val="Itaara"/>
        <filter val="Itacurubi"/>
        <filter val="Itapuca"/>
        <filter val="Itaqui"/>
        <filter val="Itati"/>
        <filter val="Itatiba do Sul"/>
        <filter val="Ivorá"/>
        <filter val="Ivoti"/>
        <filter val="Jaboticaba"/>
        <filter val="Jacuizinho"/>
        <filter val="Jacutinga"/>
        <filter val="Jaguarão"/>
        <filter val="Jaguari"/>
        <filter val="Jaquirana"/>
        <filter val="Jari"/>
        <filter val="Jóia"/>
        <filter val="Júlio de Castilhos"/>
        <filter val="Lagoa Bonita do Sul"/>
        <filter val="Lagoa dos Três Cantos"/>
        <filter val="Lagoa Vermelha"/>
        <filter val="Lagoão"/>
        <filter val="Lajeado"/>
        <filter val="Lajeado do Bugre"/>
        <filter val="Lavras do Sul"/>
        <filter val="Liberato Salzano"/>
        <filter val="Lindolfo Collor"/>
        <filter val="Linha Nova"/>
        <filter val="Maçambará"/>
        <filter val="Machadinho"/>
        <filter val="Mampituba"/>
        <filter val="Manoel Viana"/>
        <filter val="Maquiné"/>
        <filter val="Maratá"/>
        <filter val="Marau"/>
        <filter val="Marcelino Ramos"/>
        <filter val="Mariana Pimentel"/>
        <filter val="Mariano Moro"/>
        <filter val="Marques de Souza"/>
        <filter val="Mata"/>
        <filter val="Mato Castelhano"/>
        <filter val="Mato Leitão"/>
        <filter val="Mato Queimado"/>
        <filter val="Maximiliano de Almeida"/>
        <filter val="Minas do Leão"/>
        <filter val="Miraguaí"/>
        <filter val="Montauri"/>
        <filter val="Monte Alegre dos Campos"/>
        <filter val="Monte Belo do Sul"/>
        <filter val="Montenegro"/>
        <filter val="Mormaço"/>
        <filter val="Morrinhos do Sul"/>
        <filter val="Morro Redondo"/>
        <filter val="Morro Reuter"/>
        <filter val="Mostardas"/>
        <filter val="Muçum"/>
        <filter val="Muitos Capões"/>
        <filter val="Muliterno"/>
        <filter val="Não-Me-Toque"/>
        <filter val="Nicolau Vergueiro"/>
        <filter val="Nonoai"/>
        <filter val="Nova Alvorada"/>
        <filter val="Nova Araçá"/>
        <filter val="Nova Bassano"/>
        <filter val="Nova Boa Vista"/>
        <filter val="Nova Bréscia"/>
        <filter val="Nova Candelária"/>
        <filter val="Nova Esperança do Sul"/>
        <filter val="Nova Hartz"/>
        <filter val="Nova Pádua"/>
        <filter val="Nova Palma"/>
        <filter val="Nova Petrópolis"/>
        <filter val="Nova Prata"/>
        <filter val="Nova Ramada"/>
        <filter val="Nova Roma do Sul"/>
        <filter val="Nova Santa Rita"/>
        <filter val="Novo Barreiro"/>
        <filter val="Novo Cabrais"/>
        <filter val="Novo Hamburgo"/>
        <filter val="Novo Machado"/>
        <filter val="Novo Tiradentes"/>
        <filter val="Novo Xingu"/>
        <filter val="Osório"/>
        <filter val="Paim Filho"/>
        <filter val="Palmares do Sul"/>
        <filter val="Palmeira das Missões"/>
        <filter val="Palmitinho"/>
        <filter val="Panambi"/>
        <filter val="Pantano Grande"/>
        <filter val="Paraí"/>
        <filter val="Paraíso do Sul"/>
        <filter val="Pareci Novo"/>
        <filter val="Parobé"/>
        <filter val="Passa-Sete"/>
        <filter val="Passo do Sobrado"/>
        <filter val="Passo Fundo"/>
        <filter val="Paulo Bento"/>
        <filter val="Paverama"/>
        <filter val="Pedras Altas"/>
        <filter val="Pedro Osório"/>
        <filter val="Pejuçara"/>
        <filter val="Pelotas"/>
        <filter val="Picada Café"/>
        <filter val="Pinhal"/>
        <filter val="Pinhal da Serra"/>
        <filter val="Pinhal Grande"/>
        <filter val="Pinheirinho do Vale"/>
        <filter val="Pinheiro Machado"/>
        <filter val="Pinto Bandeira"/>
        <filter val="Pirapó"/>
        <filter val="Piratini"/>
        <filter val="Planalto"/>
        <filter val="Poço das Antas"/>
        <filter val="Pontão"/>
        <filter val="Ponte Preta"/>
        <filter val="Portão"/>
        <filter val="Porto Alegre"/>
        <filter val="Porto Lucena"/>
        <filter val="Porto Mauá"/>
        <filter val="Porto Vera Cruz"/>
        <filter val="Porto Xavier"/>
        <filter val="Pouso Novo"/>
        <filter val="Presidente Lucena"/>
        <filter val="Progresso"/>
        <filter val="Protásio Alves"/>
        <filter val="Putinga"/>
        <filter val="Quaraí"/>
        <filter val="Quatro Irmãos"/>
        <filter val="Quevedos"/>
        <filter val="Quinze de Novembro"/>
        <filter val="Redentora"/>
        <filter val="Relvado"/>
        <filter val="Restinga Sêca"/>
        <filter val="Rio dos Índios"/>
        <filter val="Rio Grande"/>
        <filter val="Rio Pardo"/>
        <filter val="Riozinho"/>
        <filter val="Roca Sales"/>
        <filter val="Rodeio Bonito"/>
        <filter val="Rolador"/>
        <filter val="Rolante"/>
        <filter val="Ronda Alta"/>
        <filter val="Rondinha"/>
        <filter val="Roque Gonzales"/>
        <filter val="Rosário do Sul"/>
        <filter val="Sagrada Família"/>
        <filter val="Saldanha Marinho"/>
        <filter val="Salto do Jacuí"/>
        <filter val="Salvador das Missões"/>
        <filter val="Salvador do Sul"/>
        <filter val="Sananduva"/>
        <filter val="Santa Bárbara do Sul"/>
        <filter val="Santa Cecília do Sul"/>
        <filter val="Santa Clara do Sul"/>
        <filter val="Santa Cruz do Sul"/>
        <filter val="Santa Margarida do Sul"/>
        <filter val="Santa Maria"/>
        <filter val="Santa Maria do Herval"/>
        <filter val="Santa Rosa"/>
        <filter val="Santa Tereza"/>
        <filter val="Santa Vitória do Palmar"/>
        <filter val="Santana da Boa Vista"/>
        <filter val="Sant'Ana do Livramento"/>
        <filter val="Santiago"/>
        <filter val="Santo Ângelo"/>
        <filter val="Santo Antônio da Patrulha"/>
        <filter val="Santo Antônio das Missões"/>
        <filter val="Santo Antônio do Palma"/>
        <filter val="Santo Antônio do Planalto"/>
        <filter val="Santo Augusto"/>
        <filter val="Santo Cristo"/>
        <filter val="Santo Expedito do Sul"/>
        <filter val="São Borja"/>
        <filter val="São Domingos do Sul"/>
        <filter val="São Francisco de Assis"/>
        <filter val="São Francisco de Paula"/>
        <filter val="São Gabriel"/>
        <filter val="São Jerônimo"/>
        <filter val="São João da Urtiga"/>
        <filter val="São João do Polêsine"/>
        <filter val="São Jorge"/>
        <filter val="São José das Missões"/>
        <filter val="São José do Herval"/>
        <filter val="São José do Hortêncio"/>
        <filter val="São José do Inhacorá"/>
        <filter val="São José do Norte"/>
        <filter val="São José do Ouro"/>
        <filter val="São José do Sul"/>
        <filter val="São José dos Ausentes"/>
        <filter val="São Leopoldo"/>
        <filter val="São Lourenço do Sul"/>
        <filter val="São Luiz Gonzaga"/>
        <filter val="São Marcos"/>
        <filter val="São Martinho"/>
        <filter val="São Martinho da Serra"/>
        <filter val="São Miguel das Missões"/>
        <filter val="São Nicolau"/>
        <filter val="São Paulo das Missões"/>
        <filter val="São Pedro da Serra"/>
        <filter val="São Pedro das Missões"/>
        <filter val="São Pedro do Butiá"/>
        <filter val="São Pedro do Sul"/>
        <filter val="São Sebastião do Caí"/>
        <filter val="São Sepé"/>
        <filter val="São Valentim"/>
        <filter val="São Valentim do Sul"/>
        <filter val="São Valério do Sul"/>
        <filter val="São Vendelino"/>
        <filter val="São Vicente do Sul"/>
        <filter val="Sapiranga"/>
        <filter val="Sapucaia do Sul"/>
        <filter val="Sarandi"/>
        <filter val="Seberi"/>
        <filter val="Sede Nova"/>
        <filter val="Segredo"/>
        <filter val="Selbach"/>
        <filter val="Senador Salgado Filho"/>
        <filter val="Sentinela do Sul"/>
        <filter val="Serafina Corrêa"/>
        <filter val="Sério"/>
        <filter val="Sertão"/>
        <filter val="Sertão Santana"/>
        <filter val="Sete de Setembro"/>
        <filter val="Severiano de Almeida"/>
        <filter val="Silveira Martins"/>
        <filter val="Sinimbu"/>
        <filter val="Sobradinho"/>
        <filter val="Soledade"/>
        <filter val="Tabaí"/>
        <filter val="Tapejara"/>
        <filter val="Tapera"/>
        <filter val="Tapes"/>
        <filter val="Taquara"/>
        <filter val="Taquari"/>
        <filter val="Taquaruçu do Sul"/>
        <filter val="Tavares"/>
        <filter val="Tenente Portela"/>
        <filter val="Terra de Areia"/>
        <filter val="Teutônia"/>
        <filter val="Tio Hugo"/>
        <filter val="Tiradentes do Sul"/>
        <filter val="Toropi"/>
        <filter val="Torres"/>
        <filter val="Tramandaí"/>
        <filter val="Travesseiro"/>
        <filter val="Três Arroios"/>
        <filter val="Três Cachoeiras"/>
        <filter val="Três Coroas"/>
        <filter val="Três de Maio"/>
        <filter val="Três Forquilhas"/>
        <filter val="Três Palmeiras"/>
        <filter val="Três Passos"/>
        <filter val="Trindade do Sul"/>
        <filter val="Triunfo"/>
        <filter val="Tucunduva"/>
        <filter val="Tunas"/>
        <filter val="Tupanci do Sul"/>
        <filter val="Tupanciretã"/>
        <filter val="Tupandi"/>
        <filter val="Tuparendi"/>
        <filter val="Turuçu"/>
        <filter val="Ubiretama"/>
        <filter val="União da Serra"/>
        <filter val="Unistalda"/>
        <filter val="Uruguaiana"/>
        <filter val="Vacaria"/>
        <filter val="Vale do Sol"/>
        <filter val="Vale Real"/>
        <filter val="Vale Verde"/>
        <filter val="Vanini"/>
        <filter val="Venâncio Aires"/>
        <filter val="Vera Cruz"/>
        <filter val="Veranópolis"/>
        <filter val="Vespasiano Corrêa"/>
        <filter val="Viadutos"/>
        <filter val="Viamão"/>
        <filter val="Vicente Dutra"/>
        <filter val="Victor Graeff"/>
        <filter val="Vila Flores"/>
        <filter val="Vila Lângaro"/>
        <filter val="Vila Maria"/>
        <filter val="Vila Nova do Sul"/>
        <filter val="Vista Alegre"/>
        <filter val="Vista Alegre do Prata"/>
        <filter val="Vista Gaúcha"/>
        <filter val="Vitória das Missões"/>
        <filter val="Westfália"/>
        <filter val="Xangri-lá"/>
      </filters>
    </filterColumn>
  </autoFilter>
  <hyperlinks>
    <hyperlink ref="C1" r:id="rId1" location="cite_note-IBGE-%C3%A1rea-1" xr:uid="{00000000-0004-0000-0300-000000000000}"/>
    <hyperlink ref="B2" r:id="rId2" xr:uid="{00000000-0004-0000-0300-000001000000}"/>
    <hyperlink ref="H2" r:id="rId3" xr:uid="{00000000-0004-0000-0300-000002000000}"/>
    <hyperlink ref="B3" r:id="rId4" xr:uid="{00000000-0004-0000-0300-000003000000}"/>
    <hyperlink ref="H3" r:id="rId5" xr:uid="{00000000-0004-0000-0300-000004000000}"/>
    <hyperlink ref="B4" r:id="rId6" xr:uid="{00000000-0004-0000-0300-000005000000}"/>
    <hyperlink ref="H4" r:id="rId7" xr:uid="{00000000-0004-0000-0300-000006000000}"/>
    <hyperlink ref="B5" r:id="rId8" xr:uid="{00000000-0004-0000-0300-000007000000}"/>
    <hyperlink ref="H5" r:id="rId9" xr:uid="{00000000-0004-0000-0300-000008000000}"/>
    <hyperlink ref="B6" r:id="rId10" xr:uid="{00000000-0004-0000-0300-000009000000}"/>
    <hyperlink ref="H6" r:id="rId11" xr:uid="{00000000-0004-0000-0300-00000A000000}"/>
    <hyperlink ref="B7" r:id="rId12" xr:uid="{00000000-0004-0000-0300-00000B000000}"/>
    <hyperlink ref="H7" r:id="rId13" xr:uid="{00000000-0004-0000-0300-00000C000000}"/>
    <hyperlink ref="B8" r:id="rId14" xr:uid="{00000000-0004-0000-0300-00000D000000}"/>
    <hyperlink ref="H8" r:id="rId15" xr:uid="{00000000-0004-0000-0300-00000E000000}"/>
    <hyperlink ref="B9" r:id="rId16" xr:uid="{00000000-0004-0000-0300-00000F000000}"/>
    <hyperlink ref="H9" r:id="rId17" xr:uid="{00000000-0004-0000-0300-000010000000}"/>
    <hyperlink ref="B10" r:id="rId18" xr:uid="{00000000-0004-0000-0300-000011000000}"/>
    <hyperlink ref="H10" r:id="rId19" xr:uid="{00000000-0004-0000-0300-000012000000}"/>
    <hyperlink ref="B11" r:id="rId20" xr:uid="{00000000-0004-0000-0300-000013000000}"/>
    <hyperlink ref="H11" r:id="rId21" xr:uid="{00000000-0004-0000-0300-000014000000}"/>
    <hyperlink ref="B12" r:id="rId22" xr:uid="{00000000-0004-0000-0300-000015000000}"/>
    <hyperlink ref="H12" r:id="rId23" xr:uid="{00000000-0004-0000-0300-000016000000}"/>
    <hyperlink ref="B13" r:id="rId24" xr:uid="{00000000-0004-0000-0300-000017000000}"/>
    <hyperlink ref="H13" r:id="rId25" xr:uid="{00000000-0004-0000-0300-000018000000}"/>
    <hyperlink ref="B14" r:id="rId26" xr:uid="{00000000-0004-0000-0300-000019000000}"/>
    <hyperlink ref="H14" r:id="rId27" xr:uid="{00000000-0004-0000-0300-00001A000000}"/>
    <hyperlink ref="B15" r:id="rId28" xr:uid="{00000000-0004-0000-0300-00001B000000}"/>
    <hyperlink ref="H15" r:id="rId29" xr:uid="{00000000-0004-0000-0300-00001C000000}"/>
    <hyperlink ref="B16" r:id="rId30" xr:uid="{00000000-0004-0000-0300-00001D000000}"/>
    <hyperlink ref="H16" r:id="rId31" xr:uid="{00000000-0004-0000-0300-00001E000000}"/>
    <hyperlink ref="B17" r:id="rId32" xr:uid="{00000000-0004-0000-0300-00001F000000}"/>
    <hyperlink ref="H17" r:id="rId33" xr:uid="{00000000-0004-0000-0300-000020000000}"/>
    <hyperlink ref="B18" r:id="rId34" xr:uid="{00000000-0004-0000-0300-000021000000}"/>
    <hyperlink ref="H18" r:id="rId35" xr:uid="{00000000-0004-0000-0300-000022000000}"/>
    <hyperlink ref="B19" r:id="rId36" xr:uid="{00000000-0004-0000-0300-000023000000}"/>
    <hyperlink ref="H19" r:id="rId37" xr:uid="{00000000-0004-0000-0300-000024000000}"/>
    <hyperlink ref="B20" r:id="rId38" xr:uid="{00000000-0004-0000-0300-000025000000}"/>
    <hyperlink ref="H20" r:id="rId39" xr:uid="{00000000-0004-0000-0300-000026000000}"/>
    <hyperlink ref="B21" r:id="rId40" xr:uid="{00000000-0004-0000-0300-000027000000}"/>
    <hyperlink ref="H21" r:id="rId41" xr:uid="{00000000-0004-0000-0300-000028000000}"/>
    <hyperlink ref="B22" r:id="rId42" xr:uid="{00000000-0004-0000-0300-000029000000}"/>
    <hyperlink ref="H22" r:id="rId43" xr:uid="{00000000-0004-0000-0300-00002A000000}"/>
    <hyperlink ref="B23" r:id="rId44" xr:uid="{00000000-0004-0000-0300-00002B000000}"/>
    <hyperlink ref="H23" r:id="rId45" xr:uid="{00000000-0004-0000-0300-00002C000000}"/>
    <hyperlink ref="B24" r:id="rId46" xr:uid="{00000000-0004-0000-0300-00002D000000}"/>
    <hyperlink ref="H24" r:id="rId47" xr:uid="{00000000-0004-0000-0300-00002E000000}"/>
    <hyperlink ref="B25" r:id="rId48" xr:uid="{00000000-0004-0000-0300-00002F000000}"/>
    <hyperlink ref="H25" r:id="rId49" xr:uid="{00000000-0004-0000-0300-000030000000}"/>
    <hyperlink ref="B26" r:id="rId50" xr:uid="{00000000-0004-0000-0300-000031000000}"/>
    <hyperlink ref="H26" r:id="rId51" xr:uid="{00000000-0004-0000-0300-000032000000}"/>
    <hyperlink ref="B27" r:id="rId52" xr:uid="{00000000-0004-0000-0300-000033000000}"/>
    <hyperlink ref="H27" r:id="rId53" xr:uid="{00000000-0004-0000-0300-000034000000}"/>
    <hyperlink ref="B28" r:id="rId54" xr:uid="{00000000-0004-0000-0300-000035000000}"/>
    <hyperlink ref="H28" r:id="rId55" xr:uid="{00000000-0004-0000-0300-000036000000}"/>
    <hyperlink ref="B29" r:id="rId56" xr:uid="{00000000-0004-0000-0300-000037000000}"/>
    <hyperlink ref="H29" r:id="rId57" xr:uid="{00000000-0004-0000-0300-000038000000}"/>
    <hyperlink ref="B30" r:id="rId58" xr:uid="{00000000-0004-0000-0300-000039000000}"/>
    <hyperlink ref="H30" r:id="rId59" xr:uid="{00000000-0004-0000-0300-00003A000000}"/>
    <hyperlink ref="B31" r:id="rId60" xr:uid="{00000000-0004-0000-0300-00003B000000}"/>
    <hyperlink ref="H31" r:id="rId61" xr:uid="{00000000-0004-0000-0300-00003C000000}"/>
    <hyperlink ref="B32" r:id="rId62" xr:uid="{00000000-0004-0000-0300-00003D000000}"/>
    <hyperlink ref="H32" r:id="rId63" xr:uid="{00000000-0004-0000-0300-00003E000000}"/>
    <hyperlink ref="B33" r:id="rId64" xr:uid="{00000000-0004-0000-0300-00003F000000}"/>
    <hyperlink ref="H33" r:id="rId65" xr:uid="{00000000-0004-0000-0300-000040000000}"/>
    <hyperlink ref="B34" r:id="rId66" xr:uid="{00000000-0004-0000-0300-000041000000}"/>
    <hyperlink ref="H34" r:id="rId67" xr:uid="{00000000-0004-0000-0300-000042000000}"/>
    <hyperlink ref="B35" r:id="rId68" xr:uid="{00000000-0004-0000-0300-000043000000}"/>
    <hyperlink ref="H35" r:id="rId69" xr:uid="{00000000-0004-0000-0300-000044000000}"/>
    <hyperlink ref="B36" r:id="rId70" xr:uid="{00000000-0004-0000-0300-000045000000}"/>
    <hyperlink ref="H36" r:id="rId71" xr:uid="{00000000-0004-0000-0300-000046000000}"/>
    <hyperlink ref="B37" r:id="rId72" xr:uid="{00000000-0004-0000-0300-000047000000}"/>
    <hyperlink ref="H37" r:id="rId73" xr:uid="{00000000-0004-0000-0300-000048000000}"/>
    <hyperlink ref="B38" r:id="rId74" xr:uid="{00000000-0004-0000-0300-000049000000}"/>
    <hyperlink ref="B39" r:id="rId75" xr:uid="{00000000-0004-0000-0300-00004A000000}"/>
    <hyperlink ref="B40" r:id="rId76" xr:uid="{00000000-0004-0000-0300-00004B000000}"/>
    <hyperlink ref="B41" r:id="rId77" xr:uid="{00000000-0004-0000-0300-00004C000000}"/>
    <hyperlink ref="B42" r:id="rId78" xr:uid="{00000000-0004-0000-0300-00004D000000}"/>
    <hyperlink ref="B43" r:id="rId79" xr:uid="{00000000-0004-0000-0300-00004E000000}"/>
    <hyperlink ref="B44" r:id="rId80" xr:uid="{00000000-0004-0000-0300-00004F000000}"/>
    <hyperlink ref="B45" r:id="rId81" xr:uid="{00000000-0004-0000-0300-000050000000}"/>
    <hyperlink ref="B46" r:id="rId82" xr:uid="{00000000-0004-0000-0300-000051000000}"/>
    <hyperlink ref="B47" r:id="rId83" xr:uid="{00000000-0004-0000-0300-000052000000}"/>
    <hyperlink ref="B48" r:id="rId84" xr:uid="{00000000-0004-0000-0300-000053000000}"/>
    <hyperlink ref="B49" r:id="rId85" xr:uid="{00000000-0004-0000-0300-000054000000}"/>
    <hyperlink ref="B50" r:id="rId86" xr:uid="{00000000-0004-0000-0300-000055000000}"/>
    <hyperlink ref="B51" r:id="rId87" xr:uid="{00000000-0004-0000-0300-000056000000}"/>
    <hyperlink ref="B52" r:id="rId88" xr:uid="{00000000-0004-0000-0300-000057000000}"/>
    <hyperlink ref="B53" r:id="rId89" xr:uid="{00000000-0004-0000-0300-000058000000}"/>
    <hyperlink ref="B54" r:id="rId90" xr:uid="{00000000-0004-0000-0300-000059000000}"/>
    <hyperlink ref="B55" r:id="rId91" xr:uid="{00000000-0004-0000-0300-00005A000000}"/>
    <hyperlink ref="B56" r:id="rId92" xr:uid="{00000000-0004-0000-0300-00005B000000}"/>
    <hyperlink ref="B57" r:id="rId93" xr:uid="{00000000-0004-0000-0300-00005C000000}"/>
    <hyperlink ref="B58" r:id="rId94" xr:uid="{00000000-0004-0000-0300-00005D000000}"/>
    <hyperlink ref="B59" r:id="rId95" xr:uid="{00000000-0004-0000-0300-00005E000000}"/>
    <hyperlink ref="B60" r:id="rId96" xr:uid="{00000000-0004-0000-0300-00005F000000}"/>
    <hyperlink ref="B61" r:id="rId97" xr:uid="{00000000-0004-0000-0300-000060000000}"/>
    <hyperlink ref="B62" r:id="rId98" xr:uid="{00000000-0004-0000-0300-000061000000}"/>
    <hyperlink ref="B63" r:id="rId99" xr:uid="{00000000-0004-0000-0300-000062000000}"/>
    <hyperlink ref="B64" r:id="rId100" xr:uid="{00000000-0004-0000-0300-000063000000}"/>
    <hyperlink ref="B65" r:id="rId101" xr:uid="{00000000-0004-0000-0300-000064000000}"/>
    <hyperlink ref="B66" r:id="rId102" xr:uid="{00000000-0004-0000-0300-000065000000}"/>
    <hyperlink ref="B67" r:id="rId103" xr:uid="{00000000-0004-0000-0300-000066000000}"/>
    <hyperlink ref="B68" r:id="rId104" xr:uid="{00000000-0004-0000-0300-000067000000}"/>
    <hyperlink ref="B69" r:id="rId105" xr:uid="{00000000-0004-0000-0300-000068000000}"/>
    <hyperlink ref="B70" r:id="rId106" xr:uid="{00000000-0004-0000-0300-000069000000}"/>
    <hyperlink ref="B71" r:id="rId107" xr:uid="{00000000-0004-0000-0300-00006A000000}"/>
    <hyperlink ref="B72" r:id="rId108" xr:uid="{00000000-0004-0000-0300-00006B000000}"/>
    <hyperlink ref="B73" r:id="rId109" xr:uid="{00000000-0004-0000-0300-00006C000000}"/>
    <hyperlink ref="B74" r:id="rId110" xr:uid="{00000000-0004-0000-0300-00006D000000}"/>
    <hyperlink ref="B75" r:id="rId111" xr:uid="{00000000-0004-0000-0300-00006E000000}"/>
    <hyperlink ref="B76" r:id="rId112" xr:uid="{00000000-0004-0000-0300-00006F000000}"/>
    <hyperlink ref="B77" r:id="rId113" xr:uid="{00000000-0004-0000-0300-000070000000}"/>
    <hyperlink ref="B78" r:id="rId114" xr:uid="{00000000-0004-0000-0300-000071000000}"/>
    <hyperlink ref="B79" r:id="rId115" xr:uid="{00000000-0004-0000-0300-000072000000}"/>
    <hyperlink ref="B80" r:id="rId116" xr:uid="{00000000-0004-0000-0300-000073000000}"/>
    <hyperlink ref="B81" r:id="rId117" xr:uid="{00000000-0004-0000-0300-000074000000}"/>
    <hyperlink ref="B82" r:id="rId118" xr:uid="{00000000-0004-0000-0300-000075000000}"/>
    <hyperlink ref="B83" r:id="rId119" xr:uid="{00000000-0004-0000-0300-000076000000}"/>
    <hyperlink ref="B84" r:id="rId120" xr:uid="{00000000-0004-0000-0300-000077000000}"/>
    <hyperlink ref="B85" r:id="rId121" xr:uid="{00000000-0004-0000-0300-000078000000}"/>
    <hyperlink ref="B86" r:id="rId122" xr:uid="{00000000-0004-0000-0300-000079000000}"/>
    <hyperlink ref="B87" r:id="rId123" xr:uid="{00000000-0004-0000-0300-00007A000000}"/>
    <hyperlink ref="B88" r:id="rId124" xr:uid="{00000000-0004-0000-0300-00007B000000}"/>
    <hyperlink ref="B89" r:id="rId125" xr:uid="{00000000-0004-0000-0300-00007C000000}"/>
    <hyperlink ref="B90" r:id="rId126" xr:uid="{00000000-0004-0000-0300-00007D000000}"/>
    <hyperlink ref="B91" r:id="rId127" xr:uid="{00000000-0004-0000-0300-00007E000000}"/>
    <hyperlink ref="B92" r:id="rId128" xr:uid="{00000000-0004-0000-0300-00007F000000}"/>
    <hyperlink ref="B93" r:id="rId129" xr:uid="{00000000-0004-0000-0300-000080000000}"/>
    <hyperlink ref="B94" r:id="rId130" xr:uid="{00000000-0004-0000-0300-000081000000}"/>
    <hyperlink ref="B95" r:id="rId131" xr:uid="{00000000-0004-0000-0300-000082000000}"/>
    <hyperlink ref="B96" r:id="rId132" xr:uid="{00000000-0004-0000-0300-000083000000}"/>
    <hyperlink ref="B97" r:id="rId133" xr:uid="{00000000-0004-0000-0300-000084000000}"/>
    <hyperlink ref="B98" r:id="rId134" xr:uid="{00000000-0004-0000-0300-000085000000}"/>
    <hyperlink ref="B99" r:id="rId135" xr:uid="{00000000-0004-0000-0300-000086000000}"/>
    <hyperlink ref="B100" r:id="rId136" xr:uid="{00000000-0004-0000-0300-000087000000}"/>
    <hyperlink ref="B101" r:id="rId137" xr:uid="{00000000-0004-0000-0300-000088000000}"/>
    <hyperlink ref="B102" r:id="rId138" xr:uid="{00000000-0004-0000-0300-000089000000}"/>
    <hyperlink ref="B103" r:id="rId139" xr:uid="{00000000-0004-0000-0300-00008A000000}"/>
    <hyperlink ref="B104" r:id="rId140" xr:uid="{00000000-0004-0000-0300-00008B000000}"/>
    <hyperlink ref="B105" r:id="rId141" xr:uid="{00000000-0004-0000-0300-00008C000000}"/>
    <hyperlink ref="B106" r:id="rId142" xr:uid="{00000000-0004-0000-0300-00008D000000}"/>
    <hyperlink ref="B107" r:id="rId143" xr:uid="{00000000-0004-0000-0300-00008E000000}"/>
    <hyperlink ref="B108" r:id="rId144" xr:uid="{00000000-0004-0000-0300-00008F000000}"/>
    <hyperlink ref="B109" r:id="rId145" xr:uid="{00000000-0004-0000-0300-000090000000}"/>
    <hyperlink ref="B110" r:id="rId146" xr:uid="{00000000-0004-0000-0300-000091000000}"/>
    <hyperlink ref="B111" r:id="rId147" xr:uid="{00000000-0004-0000-0300-000092000000}"/>
    <hyperlink ref="B112" r:id="rId148" xr:uid="{00000000-0004-0000-0300-000093000000}"/>
    <hyperlink ref="B113" r:id="rId149" xr:uid="{00000000-0004-0000-0300-000094000000}"/>
    <hyperlink ref="B114" r:id="rId150" xr:uid="{00000000-0004-0000-0300-000095000000}"/>
    <hyperlink ref="B115" r:id="rId151" xr:uid="{00000000-0004-0000-0300-000096000000}"/>
    <hyperlink ref="B116" r:id="rId152" xr:uid="{00000000-0004-0000-0300-000097000000}"/>
    <hyperlink ref="B117" r:id="rId153" xr:uid="{00000000-0004-0000-0300-000098000000}"/>
    <hyperlink ref="B118" r:id="rId154" xr:uid="{00000000-0004-0000-0300-000099000000}"/>
    <hyperlink ref="B119" r:id="rId155" xr:uid="{00000000-0004-0000-0300-00009A000000}"/>
    <hyperlink ref="B120" r:id="rId156" xr:uid="{00000000-0004-0000-0300-00009B000000}"/>
    <hyperlink ref="B121" r:id="rId157" xr:uid="{00000000-0004-0000-0300-00009C000000}"/>
    <hyperlink ref="B122" r:id="rId158" xr:uid="{00000000-0004-0000-0300-00009D000000}"/>
    <hyperlink ref="B123" r:id="rId159" xr:uid="{00000000-0004-0000-0300-00009E000000}"/>
    <hyperlink ref="B124" r:id="rId160" xr:uid="{00000000-0004-0000-0300-00009F000000}"/>
    <hyperlink ref="B125" r:id="rId161" xr:uid="{00000000-0004-0000-0300-0000A0000000}"/>
    <hyperlink ref="B126" r:id="rId162" xr:uid="{00000000-0004-0000-0300-0000A1000000}"/>
    <hyperlink ref="B127" r:id="rId163" xr:uid="{00000000-0004-0000-0300-0000A2000000}"/>
    <hyperlink ref="B128" r:id="rId164" xr:uid="{00000000-0004-0000-0300-0000A3000000}"/>
    <hyperlink ref="B129" r:id="rId165" xr:uid="{00000000-0004-0000-0300-0000A4000000}"/>
    <hyperlink ref="B130" r:id="rId166" xr:uid="{00000000-0004-0000-0300-0000A5000000}"/>
    <hyperlink ref="B131" r:id="rId167" xr:uid="{00000000-0004-0000-0300-0000A6000000}"/>
    <hyperlink ref="B132" r:id="rId168" xr:uid="{00000000-0004-0000-0300-0000A7000000}"/>
    <hyperlink ref="B133" r:id="rId169" xr:uid="{00000000-0004-0000-0300-0000A8000000}"/>
    <hyperlink ref="B134" r:id="rId170" xr:uid="{00000000-0004-0000-0300-0000A9000000}"/>
    <hyperlink ref="B135" r:id="rId171" xr:uid="{00000000-0004-0000-0300-0000AA000000}"/>
    <hyperlink ref="B136" r:id="rId172" xr:uid="{00000000-0004-0000-0300-0000AB000000}"/>
    <hyperlink ref="B137" r:id="rId173" xr:uid="{00000000-0004-0000-0300-0000AC000000}"/>
    <hyperlink ref="B138" r:id="rId174" xr:uid="{00000000-0004-0000-0300-0000AD000000}"/>
    <hyperlink ref="B139" r:id="rId175" xr:uid="{00000000-0004-0000-0300-0000AE000000}"/>
    <hyperlink ref="B140" r:id="rId176" xr:uid="{00000000-0004-0000-0300-0000AF000000}"/>
    <hyperlink ref="B141" r:id="rId177" xr:uid="{00000000-0004-0000-0300-0000B0000000}"/>
    <hyperlink ref="B142" r:id="rId178" xr:uid="{00000000-0004-0000-0300-0000B1000000}"/>
    <hyperlink ref="B143" r:id="rId179" xr:uid="{00000000-0004-0000-0300-0000B2000000}"/>
    <hyperlink ref="B144" r:id="rId180" xr:uid="{00000000-0004-0000-0300-0000B3000000}"/>
    <hyperlink ref="B145" r:id="rId181" xr:uid="{00000000-0004-0000-0300-0000B4000000}"/>
    <hyperlink ref="B146" r:id="rId182" xr:uid="{00000000-0004-0000-0300-0000B5000000}"/>
    <hyperlink ref="B147" r:id="rId183" xr:uid="{00000000-0004-0000-0300-0000B6000000}"/>
    <hyperlink ref="B148" r:id="rId184" xr:uid="{00000000-0004-0000-0300-0000B7000000}"/>
    <hyperlink ref="B149" r:id="rId185" xr:uid="{00000000-0004-0000-0300-0000B8000000}"/>
    <hyperlink ref="B150" r:id="rId186" xr:uid="{00000000-0004-0000-0300-0000B9000000}"/>
    <hyperlink ref="B151" r:id="rId187" xr:uid="{00000000-0004-0000-0300-0000BA000000}"/>
    <hyperlink ref="B152" r:id="rId188" xr:uid="{00000000-0004-0000-0300-0000BB000000}"/>
    <hyperlink ref="B153" r:id="rId189" xr:uid="{00000000-0004-0000-0300-0000BC000000}"/>
    <hyperlink ref="B154" r:id="rId190" xr:uid="{00000000-0004-0000-0300-0000BD000000}"/>
    <hyperlink ref="B155" r:id="rId191" xr:uid="{00000000-0004-0000-0300-0000BE000000}"/>
    <hyperlink ref="B156" r:id="rId192" xr:uid="{00000000-0004-0000-0300-0000BF000000}"/>
    <hyperlink ref="B157" r:id="rId193" xr:uid="{00000000-0004-0000-0300-0000C0000000}"/>
    <hyperlink ref="B158" r:id="rId194" xr:uid="{00000000-0004-0000-0300-0000C1000000}"/>
    <hyperlink ref="B159" r:id="rId195" xr:uid="{00000000-0004-0000-0300-0000C2000000}"/>
    <hyperlink ref="B160" r:id="rId196" xr:uid="{00000000-0004-0000-0300-0000C3000000}"/>
    <hyperlink ref="B161" r:id="rId197" xr:uid="{00000000-0004-0000-0300-0000C4000000}"/>
    <hyperlink ref="B162" r:id="rId198" xr:uid="{00000000-0004-0000-0300-0000C5000000}"/>
    <hyperlink ref="B163" r:id="rId199" xr:uid="{00000000-0004-0000-0300-0000C6000000}"/>
    <hyperlink ref="B164" r:id="rId200" xr:uid="{00000000-0004-0000-0300-0000C7000000}"/>
    <hyperlink ref="B165" r:id="rId201" xr:uid="{00000000-0004-0000-0300-0000C8000000}"/>
    <hyperlink ref="B166" r:id="rId202" xr:uid="{00000000-0004-0000-0300-0000C9000000}"/>
    <hyperlink ref="B167" r:id="rId203" xr:uid="{00000000-0004-0000-0300-0000CA000000}"/>
    <hyperlink ref="B168" r:id="rId204" xr:uid="{00000000-0004-0000-0300-0000CB000000}"/>
    <hyperlink ref="B169" r:id="rId205" xr:uid="{00000000-0004-0000-0300-0000CC000000}"/>
    <hyperlink ref="B170" r:id="rId206" xr:uid="{00000000-0004-0000-0300-0000CD000000}"/>
    <hyperlink ref="B171" r:id="rId207" xr:uid="{00000000-0004-0000-0300-0000CE000000}"/>
    <hyperlink ref="B172" r:id="rId208" xr:uid="{00000000-0004-0000-0300-0000CF000000}"/>
    <hyperlink ref="B173" r:id="rId209" xr:uid="{00000000-0004-0000-0300-0000D0000000}"/>
    <hyperlink ref="B174" r:id="rId210" xr:uid="{00000000-0004-0000-0300-0000D1000000}"/>
    <hyperlink ref="B175" r:id="rId211" xr:uid="{00000000-0004-0000-0300-0000D2000000}"/>
    <hyperlink ref="B176" r:id="rId212" xr:uid="{00000000-0004-0000-0300-0000D3000000}"/>
    <hyperlink ref="B177" r:id="rId213" xr:uid="{00000000-0004-0000-0300-0000D4000000}"/>
    <hyperlink ref="B178" r:id="rId214" xr:uid="{00000000-0004-0000-0300-0000D5000000}"/>
    <hyperlink ref="B179" r:id="rId215" xr:uid="{00000000-0004-0000-0300-0000D6000000}"/>
    <hyperlink ref="B180" r:id="rId216" xr:uid="{00000000-0004-0000-0300-0000D7000000}"/>
    <hyperlink ref="B181" r:id="rId217" xr:uid="{00000000-0004-0000-0300-0000D8000000}"/>
    <hyperlink ref="B182" r:id="rId218" xr:uid="{00000000-0004-0000-0300-0000D9000000}"/>
    <hyperlink ref="B183" r:id="rId219" xr:uid="{00000000-0004-0000-0300-0000DA000000}"/>
    <hyperlink ref="B184" r:id="rId220" xr:uid="{00000000-0004-0000-0300-0000DB000000}"/>
    <hyperlink ref="B185" r:id="rId221" xr:uid="{00000000-0004-0000-0300-0000DC000000}"/>
    <hyperlink ref="B186" r:id="rId222" xr:uid="{00000000-0004-0000-0300-0000DD000000}"/>
    <hyperlink ref="B187" r:id="rId223" xr:uid="{00000000-0004-0000-0300-0000DE000000}"/>
    <hyperlink ref="B188" r:id="rId224" xr:uid="{00000000-0004-0000-0300-0000DF000000}"/>
    <hyperlink ref="B189" r:id="rId225" xr:uid="{00000000-0004-0000-0300-0000E0000000}"/>
    <hyperlink ref="B190" r:id="rId226" xr:uid="{00000000-0004-0000-0300-0000E1000000}"/>
    <hyperlink ref="B191" r:id="rId227" xr:uid="{00000000-0004-0000-0300-0000E2000000}"/>
    <hyperlink ref="B192" r:id="rId228" xr:uid="{00000000-0004-0000-0300-0000E3000000}"/>
    <hyperlink ref="B193" r:id="rId229" xr:uid="{00000000-0004-0000-0300-0000E4000000}"/>
    <hyperlink ref="B194" r:id="rId230" xr:uid="{00000000-0004-0000-0300-0000E5000000}"/>
    <hyperlink ref="B195" r:id="rId231" xr:uid="{00000000-0004-0000-0300-0000E6000000}"/>
    <hyperlink ref="B196" r:id="rId232" xr:uid="{00000000-0004-0000-0300-0000E7000000}"/>
    <hyperlink ref="B197" r:id="rId233" xr:uid="{00000000-0004-0000-0300-0000E8000000}"/>
    <hyperlink ref="B198" r:id="rId234" xr:uid="{00000000-0004-0000-0300-0000E9000000}"/>
    <hyperlink ref="B199" r:id="rId235" xr:uid="{00000000-0004-0000-0300-0000EA000000}"/>
    <hyperlink ref="B200" r:id="rId236" xr:uid="{00000000-0004-0000-0300-0000EB000000}"/>
    <hyperlink ref="B201" r:id="rId237" xr:uid="{00000000-0004-0000-0300-0000EC000000}"/>
    <hyperlink ref="B202" r:id="rId238" xr:uid="{00000000-0004-0000-0300-0000ED000000}"/>
    <hyperlink ref="B203" r:id="rId239" xr:uid="{00000000-0004-0000-0300-0000EE000000}"/>
    <hyperlink ref="B204" r:id="rId240" xr:uid="{00000000-0004-0000-0300-0000EF000000}"/>
    <hyperlink ref="B205" r:id="rId241" xr:uid="{00000000-0004-0000-0300-0000F0000000}"/>
    <hyperlink ref="B206" r:id="rId242" xr:uid="{00000000-0004-0000-0300-0000F1000000}"/>
    <hyperlink ref="B207" r:id="rId243" xr:uid="{00000000-0004-0000-0300-0000F2000000}"/>
    <hyperlink ref="B208" r:id="rId244" xr:uid="{00000000-0004-0000-0300-0000F3000000}"/>
    <hyperlink ref="B209" r:id="rId245" xr:uid="{00000000-0004-0000-0300-0000F4000000}"/>
    <hyperlink ref="B210" r:id="rId246" xr:uid="{00000000-0004-0000-0300-0000F5000000}"/>
    <hyperlink ref="B211" r:id="rId247" xr:uid="{00000000-0004-0000-0300-0000F6000000}"/>
    <hyperlink ref="B212" r:id="rId248" xr:uid="{00000000-0004-0000-0300-0000F7000000}"/>
    <hyperlink ref="B213" r:id="rId249" xr:uid="{00000000-0004-0000-0300-0000F8000000}"/>
    <hyperlink ref="B214" r:id="rId250" xr:uid="{00000000-0004-0000-0300-0000F9000000}"/>
    <hyperlink ref="B215" r:id="rId251" xr:uid="{00000000-0004-0000-0300-0000FA000000}"/>
    <hyperlink ref="B216" r:id="rId252" xr:uid="{00000000-0004-0000-0300-0000FB000000}"/>
    <hyperlink ref="B217" r:id="rId253" xr:uid="{00000000-0004-0000-0300-0000FC000000}"/>
    <hyperlink ref="B218" r:id="rId254" xr:uid="{00000000-0004-0000-0300-0000FD000000}"/>
    <hyperlink ref="B219" r:id="rId255" xr:uid="{00000000-0004-0000-0300-0000FE000000}"/>
    <hyperlink ref="B220" r:id="rId256" xr:uid="{00000000-0004-0000-0300-0000FF000000}"/>
    <hyperlink ref="B221" r:id="rId257" xr:uid="{00000000-0004-0000-0300-000000010000}"/>
    <hyperlink ref="B222" r:id="rId258" xr:uid="{00000000-0004-0000-0300-000001010000}"/>
    <hyperlink ref="B223" r:id="rId259" xr:uid="{00000000-0004-0000-0300-000002010000}"/>
    <hyperlink ref="B224" r:id="rId260" xr:uid="{00000000-0004-0000-0300-000003010000}"/>
    <hyperlink ref="B225" r:id="rId261" xr:uid="{00000000-0004-0000-0300-000004010000}"/>
    <hyperlink ref="B226" r:id="rId262" xr:uid="{00000000-0004-0000-0300-000005010000}"/>
    <hyperlink ref="B227" r:id="rId263" xr:uid="{00000000-0004-0000-0300-000006010000}"/>
    <hyperlink ref="B228" r:id="rId264" xr:uid="{00000000-0004-0000-0300-000007010000}"/>
    <hyperlink ref="B229" r:id="rId265" xr:uid="{00000000-0004-0000-0300-000008010000}"/>
    <hyperlink ref="B230" r:id="rId266" xr:uid="{00000000-0004-0000-0300-000009010000}"/>
    <hyperlink ref="B231" r:id="rId267" xr:uid="{00000000-0004-0000-0300-00000A010000}"/>
    <hyperlink ref="B232" r:id="rId268" xr:uid="{00000000-0004-0000-0300-00000B010000}"/>
    <hyperlink ref="B233" r:id="rId269" xr:uid="{00000000-0004-0000-0300-00000C010000}"/>
    <hyperlink ref="B234" r:id="rId270" xr:uid="{00000000-0004-0000-0300-00000D010000}"/>
    <hyperlink ref="B235" r:id="rId271" xr:uid="{00000000-0004-0000-0300-00000E010000}"/>
    <hyperlink ref="B236" r:id="rId272" xr:uid="{00000000-0004-0000-0300-00000F010000}"/>
    <hyperlink ref="B237" r:id="rId273" xr:uid="{00000000-0004-0000-0300-000010010000}"/>
    <hyperlink ref="B238" r:id="rId274" xr:uid="{00000000-0004-0000-0300-000011010000}"/>
    <hyperlink ref="B239" r:id="rId275" xr:uid="{00000000-0004-0000-0300-000012010000}"/>
    <hyperlink ref="B240" r:id="rId276" xr:uid="{00000000-0004-0000-0300-000013010000}"/>
    <hyperlink ref="B241" r:id="rId277" xr:uid="{00000000-0004-0000-0300-000014010000}"/>
    <hyperlink ref="B242" r:id="rId278" xr:uid="{00000000-0004-0000-0300-000015010000}"/>
    <hyperlink ref="B243" r:id="rId279" xr:uid="{00000000-0004-0000-0300-000016010000}"/>
    <hyperlink ref="B244" r:id="rId280" xr:uid="{00000000-0004-0000-0300-000017010000}"/>
    <hyperlink ref="B245" r:id="rId281" xr:uid="{00000000-0004-0000-0300-000018010000}"/>
    <hyperlink ref="B246" r:id="rId282" xr:uid="{00000000-0004-0000-0300-000019010000}"/>
    <hyperlink ref="B247" r:id="rId283" xr:uid="{00000000-0004-0000-0300-00001A010000}"/>
    <hyperlink ref="B248" r:id="rId284" xr:uid="{00000000-0004-0000-0300-00001B010000}"/>
    <hyperlink ref="B249" r:id="rId285" xr:uid="{00000000-0004-0000-0300-00001C010000}"/>
    <hyperlink ref="B250" r:id="rId286" xr:uid="{00000000-0004-0000-0300-00001D010000}"/>
    <hyperlink ref="B251" r:id="rId287" xr:uid="{00000000-0004-0000-0300-00001E010000}"/>
    <hyperlink ref="B252" r:id="rId288" xr:uid="{00000000-0004-0000-0300-00001F010000}"/>
    <hyperlink ref="B253" r:id="rId289" xr:uid="{00000000-0004-0000-0300-000020010000}"/>
    <hyperlink ref="B254" r:id="rId290" xr:uid="{00000000-0004-0000-0300-000021010000}"/>
    <hyperlink ref="B255" r:id="rId291" xr:uid="{00000000-0004-0000-0300-000022010000}"/>
    <hyperlink ref="B256" r:id="rId292" xr:uid="{00000000-0004-0000-0300-000023010000}"/>
    <hyperlink ref="B257" r:id="rId293" xr:uid="{00000000-0004-0000-0300-000024010000}"/>
    <hyperlink ref="B258" r:id="rId294" xr:uid="{00000000-0004-0000-0300-000025010000}"/>
    <hyperlink ref="B259" r:id="rId295" xr:uid="{00000000-0004-0000-0300-000026010000}"/>
    <hyperlink ref="B260" r:id="rId296" xr:uid="{00000000-0004-0000-0300-000027010000}"/>
    <hyperlink ref="B261" r:id="rId297" xr:uid="{00000000-0004-0000-0300-000028010000}"/>
    <hyperlink ref="B262" r:id="rId298" xr:uid="{00000000-0004-0000-0300-000029010000}"/>
    <hyperlink ref="B263" r:id="rId299" xr:uid="{00000000-0004-0000-0300-00002A010000}"/>
    <hyperlink ref="B264" r:id="rId300" xr:uid="{00000000-0004-0000-0300-00002B010000}"/>
    <hyperlink ref="B265" r:id="rId301" xr:uid="{00000000-0004-0000-0300-00002C010000}"/>
    <hyperlink ref="B266" r:id="rId302" xr:uid="{00000000-0004-0000-0300-00002D010000}"/>
    <hyperlink ref="B267" r:id="rId303" xr:uid="{00000000-0004-0000-0300-00002E010000}"/>
    <hyperlink ref="B268" r:id="rId304" xr:uid="{00000000-0004-0000-0300-00002F010000}"/>
    <hyperlink ref="B269" r:id="rId305" xr:uid="{00000000-0004-0000-0300-000030010000}"/>
    <hyperlink ref="B270" r:id="rId306" xr:uid="{00000000-0004-0000-0300-000031010000}"/>
    <hyperlink ref="B271" r:id="rId307" xr:uid="{00000000-0004-0000-0300-000032010000}"/>
    <hyperlink ref="B272" r:id="rId308" xr:uid="{00000000-0004-0000-0300-000033010000}"/>
    <hyperlink ref="B273" r:id="rId309" xr:uid="{00000000-0004-0000-0300-000034010000}"/>
    <hyperlink ref="B274" r:id="rId310" xr:uid="{00000000-0004-0000-0300-000035010000}"/>
    <hyperlink ref="B275" r:id="rId311" xr:uid="{00000000-0004-0000-0300-000036010000}"/>
    <hyperlink ref="B276" r:id="rId312" xr:uid="{00000000-0004-0000-0300-000037010000}"/>
    <hyperlink ref="B277" r:id="rId313" xr:uid="{00000000-0004-0000-0300-000038010000}"/>
    <hyperlink ref="B278" r:id="rId314" xr:uid="{00000000-0004-0000-0300-000039010000}"/>
    <hyperlink ref="B279" r:id="rId315" xr:uid="{00000000-0004-0000-0300-00003A010000}"/>
    <hyperlink ref="B280" r:id="rId316" xr:uid="{00000000-0004-0000-0300-00003B010000}"/>
    <hyperlink ref="B281" r:id="rId317" xr:uid="{00000000-0004-0000-0300-00003C010000}"/>
    <hyperlink ref="B282" r:id="rId318" xr:uid="{00000000-0004-0000-0300-00003D010000}"/>
    <hyperlink ref="B283" r:id="rId319" xr:uid="{00000000-0004-0000-0300-00003E010000}"/>
    <hyperlink ref="B284" r:id="rId320" xr:uid="{00000000-0004-0000-0300-00003F010000}"/>
    <hyperlink ref="B285" r:id="rId321" xr:uid="{00000000-0004-0000-0300-000040010000}"/>
    <hyperlink ref="B286" r:id="rId322" xr:uid="{00000000-0004-0000-0300-000041010000}"/>
    <hyperlink ref="B287" r:id="rId323" xr:uid="{00000000-0004-0000-0300-000042010000}"/>
    <hyperlink ref="B288" r:id="rId324" xr:uid="{00000000-0004-0000-0300-000043010000}"/>
    <hyperlink ref="B289" r:id="rId325" xr:uid="{00000000-0004-0000-0300-000044010000}"/>
    <hyperlink ref="B290" r:id="rId326" xr:uid="{00000000-0004-0000-0300-000045010000}"/>
    <hyperlink ref="B291" r:id="rId327" xr:uid="{00000000-0004-0000-0300-000046010000}"/>
    <hyperlink ref="B292" r:id="rId328" xr:uid="{00000000-0004-0000-0300-000047010000}"/>
    <hyperlink ref="B293" r:id="rId329" xr:uid="{00000000-0004-0000-0300-000048010000}"/>
    <hyperlink ref="B294" r:id="rId330" xr:uid="{00000000-0004-0000-0300-000049010000}"/>
    <hyperlink ref="B295" r:id="rId331" xr:uid="{00000000-0004-0000-0300-00004A010000}"/>
    <hyperlink ref="B296" r:id="rId332" xr:uid="{00000000-0004-0000-0300-00004B010000}"/>
    <hyperlink ref="B297" r:id="rId333" xr:uid="{00000000-0004-0000-0300-00004C010000}"/>
    <hyperlink ref="B298" r:id="rId334" xr:uid="{00000000-0004-0000-0300-00004D010000}"/>
    <hyperlink ref="B299" r:id="rId335" xr:uid="{00000000-0004-0000-0300-00004E010000}"/>
    <hyperlink ref="B300" r:id="rId336" xr:uid="{00000000-0004-0000-0300-00004F010000}"/>
    <hyperlink ref="B301" r:id="rId337" xr:uid="{00000000-0004-0000-0300-000050010000}"/>
    <hyperlink ref="B302" r:id="rId338" xr:uid="{00000000-0004-0000-0300-000051010000}"/>
    <hyperlink ref="B303" r:id="rId339" xr:uid="{00000000-0004-0000-0300-000052010000}"/>
    <hyperlink ref="B304" r:id="rId340" xr:uid="{00000000-0004-0000-0300-000053010000}"/>
    <hyperlink ref="B305" r:id="rId341" xr:uid="{00000000-0004-0000-0300-000054010000}"/>
    <hyperlink ref="B306" r:id="rId342" xr:uid="{00000000-0004-0000-0300-000055010000}"/>
    <hyperlink ref="B307" r:id="rId343" xr:uid="{00000000-0004-0000-0300-000056010000}"/>
    <hyperlink ref="B308" r:id="rId344" xr:uid="{00000000-0004-0000-0300-000057010000}"/>
    <hyperlink ref="B309" r:id="rId345" xr:uid="{00000000-0004-0000-0300-000058010000}"/>
    <hyperlink ref="B310" r:id="rId346" xr:uid="{00000000-0004-0000-0300-000059010000}"/>
    <hyperlink ref="B311" r:id="rId347" xr:uid="{00000000-0004-0000-0300-00005A010000}"/>
    <hyperlink ref="B312" r:id="rId348" xr:uid="{00000000-0004-0000-0300-00005B010000}"/>
    <hyperlink ref="B313" r:id="rId349" xr:uid="{00000000-0004-0000-0300-00005C010000}"/>
    <hyperlink ref="B314" r:id="rId350" xr:uid="{00000000-0004-0000-0300-00005D010000}"/>
    <hyperlink ref="B315" r:id="rId351" xr:uid="{00000000-0004-0000-0300-00005E010000}"/>
    <hyperlink ref="B316" r:id="rId352" xr:uid="{00000000-0004-0000-0300-00005F010000}"/>
    <hyperlink ref="B317" r:id="rId353" xr:uid="{00000000-0004-0000-0300-000060010000}"/>
    <hyperlink ref="B318" r:id="rId354" xr:uid="{00000000-0004-0000-0300-000061010000}"/>
    <hyperlink ref="B319" r:id="rId355" xr:uid="{00000000-0004-0000-0300-000062010000}"/>
    <hyperlink ref="B320" r:id="rId356" xr:uid="{00000000-0004-0000-0300-000063010000}"/>
    <hyperlink ref="B321" r:id="rId357" xr:uid="{00000000-0004-0000-0300-000064010000}"/>
    <hyperlink ref="B322" r:id="rId358" xr:uid="{00000000-0004-0000-0300-000065010000}"/>
    <hyperlink ref="B323" r:id="rId359" xr:uid="{00000000-0004-0000-0300-000066010000}"/>
    <hyperlink ref="B324" r:id="rId360" xr:uid="{00000000-0004-0000-0300-000067010000}"/>
    <hyperlink ref="B325" r:id="rId361" xr:uid="{00000000-0004-0000-0300-000068010000}"/>
    <hyperlink ref="B326" r:id="rId362" xr:uid="{00000000-0004-0000-0300-000069010000}"/>
    <hyperlink ref="B327" r:id="rId363" xr:uid="{00000000-0004-0000-0300-00006A010000}"/>
    <hyperlink ref="B328" r:id="rId364" xr:uid="{00000000-0004-0000-0300-00006B010000}"/>
    <hyperlink ref="B329" r:id="rId365" xr:uid="{00000000-0004-0000-0300-00006C010000}"/>
    <hyperlink ref="B330" r:id="rId366" xr:uid="{00000000-0004-0000-0300-00006D010000}"/>
    <hyperlink ref="B331" r:id="rId367" xr:uid="{00000000-0004-0000-0300-00006E010000}"/>
    <hyperlink ref="B332" r:id="rId368" xr:uid="{00000000-0004-0000-0300-00006F010000}"/>
    <hyperlink ref="B333" r:id="rId369" xr:uid="{00000000-0004-0000-0300-000070010000}"/>
    <hyperlink ref="B334" r:id="rId370" xr:uid="{00000000-0004-0000-0300-000071010000}"/>
    <hyperlink ref="B335" r:id="rId371" xr:uid="{00000000-0004-0000-0300-000072010000}"/>
    <hyperlink ref="B336" r:id="rId372" xr:uid="{00000000-0004-0000-0300-000073010000}"/>
    <hyperlink ref="B337" r:id="rId373" xr:uid="{00000000-0004-0000-0300-000074010000}"/>
    <hyperlink ref="B338" r:id="rId374" xr:uid="{00000000-0004-0000-0300-000075010000}"/>
    <hyperlink ref="B339" r:id="rId375" xr:uid="{00000000-0004-0000-0300-000076010000}"/>
    <hyperlink ref="B340" r:id="rId376" xr:uid="{00000000-0004-0000-0300-000077010000}"/>
    <hyperlink ref="B341" r:id="rId377" xr:uid="{00000000-0004-0000-0300-000078010000}"/>
    <hyperlink ref="B342" r:id="rId378" xr:uid="{00000000-0004-0000-0300-000079010000}"/>
    <hyperlink ref="B343" r:id="rId379" xr:uid="{00000000-0004-0000-0300-00007A010000}"/>
    <hyperlink ref="B344" r:id="rId380" xr:uid="{00000000-0004-0000-0300-00007B010000}"/>
    <hyperlink ref="B345" r:id="rId381" xr:uid="{00000000-0004-0000-0300-00007C010000}"/>
    <hyperlink ref="B346" r:id="rId382" xr:uid="{00000000-0004-0000-0300-00007D010000}"/>
    <hyperlink ref="B347" r:id="rId383" xr:uid="{00000000-0004-0000-0300-00007E010000}"/>
    <hyperlink ref="B348" r:id="rId384" xr:uid="{00000000-0004-0000-0300-00007F010000}"/>
    <hyperlink ref="B349" r:id="rId385" xr:uid="{00000000-0004-0000-0300-000080010000}"/>
    <hyperlink ref="B350" r:id="rId386" xr:uid="{00000000-0004-0000-0300-000081010000}"/>
    <hyperlink ref="B351" r:id="rId387" xr:uid="{00000000-0004-0000-0300-000082010000}"/>
    <hyperlink ref="B352" r:id="rId388" xr:uid="{00000000-0004-0000-0300-000083010000}"/>
    <hyperlink ref="B353" r:id="rId389" xr:uid="{00000000-0004-0000-0300-000084010000}"/>
    <hyperlink ref="B354" r:id="rId390" xr:uid="{00000000-0004-0000-0300-000085010000}"/>
    <hyperlink ref="B355" r:id="rId391" xr:uid="{00000000-0004-0000-0300-000086010000}"/>
    <hyperlink ref="B356" r:id="rId392" xr:uid="{00000000-0004-0000-0300-000087010000}"/>
    <hyperlink ref="B357" r:id="rId393" xr:uid="{00000000-0004-0000-0300-000088010000}"/>
    <hyperlink ref="B358" r:id="rId394" xr:uid="{00000000-0004-0000-0300-000089010000}"/>
    <hyperlink ref="B359" r:id="rId395" xr:uid="{00000000-0004-0000-0300-00008A010000}"/>
    <hyperlink ref="B360" r:id="rId396" xr:uid="{00000000-0004-0000-0300-00008B010000}"/>
    <hyperlink ref="B361" r:id="rId397" xr:uid="{00000000-0004-0000-0300-00008C010000}"/>
    <hyperlink ref="B362" r:id="rId398" xr:uid="{00000000-0004-0000-0300-00008D010000}"/>
    <hyperlink ref="B363" r:id="rId399" xr:uid="{00000000-0004-0000-0300-00008E010000}"/>
    <hyperlink ref="B364" r:id="rId400" xr:uid="{00000000-0004-0000-0300-00008F010000}"/>
    <hyperlink ref="B365" r:id="rId401" xr:uid="{00000000-0004-0000-0300-000090010000}"/>
    <hyperlink ref="B366" r:id="rId402" xr:uid="{00000000-0004-0000-0300-000091010000}"/>
    <hyperlink ref="B367" r:id="rId403" xr:uid="{00000000-0004-0000-0300-000092010000}"/>
    <hyperlink ref="B368" r:id="rId404" xr:uid="{00000000-0004-0000-0300-000093010000}"/>
    <hyperlink ref="B369" r:id="rId405" xr:uid="{00000000-0004-0000-0300-000094010000}"/>
    <hyperlink ref="B370" r:id="rId406" xr:uid="{00000000-0004-0000-0300-000095010000}"/>
    <hyperlink ref="B371" r:id="rId407" xr:uid="{00000000-0004-0000-0300-000096010000}"/>
    <hyperlink ref="B372" r:id="rId408" xr:uid="{00000000-0004-0000-0300-000097010000}"/>
    <hyperlink ref="B373" r:id="rId409" xr:uid="{00000000-0004-0000-0300-000098010000}"/>
    <hyperlink ref="B374" r:id="rId410" xr:uid="{00000000-0004-0000-0300-000099010000}"/>
    <hyperlink ref="B375" r:id="rId411" xr:uid="{00000000-0004-0000-0300-00009A010000}"/>
    <hyperlink ref="B376" r:id="rId412" xr:uid="{00000000-0004-0000-0300-00009B010000}"/>
    <hyperlink ref="B377" r:id="rId413" xr:uid="{00000000-0004-0000-0300-00009C010000}"/>
    <hyperlink ref="B378" r:id="rId414" xr:uid="{00000000-0004-0000-0300-00009D010000}"/>
    <hyperlink ref="B379" r:id="rId415" xr:uid="{00000000-0004-0000-0300-00009E010000}"/>
    <hyperlink ref="B380" r:id="rId416" xr:uid="{00000000-0004-0000-0300-00009F010000}"/>
    <hyperlink ref="B381" r:id="rId417" xr:uid="{00000000-0004-0000-0300-0000A0010000}"/>
    <hyperlink ref="B382" r:id="rId418" xr:uid="{00000000-0004-0000-0300-0000A1010000}"/>
    <hyperlink ref="B383" r:id="rId419" xr:uid="{00000000-0004-0000-0300-0000A2010000}"/>
    <hyperlink ref="B384" r:id="rId420" xr:uid="{00000000-0004-0000-0300-0000A3010000}"/>
    <hyperlink ref="B385" r:id="rId421" xr:uid="{00000000-0004-0000-0300-0000A4010000}"/>
    <hyperlink ref="B386" r:id="rId422" xr:uid="{00000000-0004-0000-0300-0000A5010000}"/>
    <hyperlink ref="B387" r:id="rId423" xr:uid="{00000000-0004-0000-0300-0000A6010000}"/>
    <hyperlink ref="B388" r:id="rId424" xr:uid="{00000000-0004-0000-0300-0000A7010000}"/>
    <hyperlink ref="B389" r:id="rId425" xr:uid="{00000000-0004-0000-0300-0000A8010000}"/>
    <hyperlink ref="B390" r:id="rId426" xr:uid="{00000000-0004-0000-0300-0000A9010000}"/>
    <hyperlink ref="B391" r:id="rId427" xr:uid="{00000000-0004-0000-0300-0000AA010000}"/>
    <hyperlink ref="B392" r:id="rId428" xr:uid="{00000000-0004-0000-0300-0000AB010000}"/>
    <hyperlink ref="B393" r:id="rId429" xr:uid="{00000000-0004-0000-0300-0000AC010000}"/>
    <hyperlink ref="B394" r:id="rId430" xr:uid="{00000000-0004-0000-0300-0000AD010000}"/>
    <hyperlink ref="B395" r:id="rId431" xr:uid="{00000000-0004-0000-0300-0000AE010000}"/>
    <hyperlink ref="B396" r:id="rId432" xr:uid="{00000000-0004-0000-0300-0000AF010000}"/>
    <hyperlink ref="B397" r:id="rId433" xr:uid="{00000000-0004-0000-0300-0000B0010000}"/>
    <hyperlink ref="B398" r:id="rId434" xr:uid="{00000000-0004-0000-0300-0000B1010000}"/>
    <hyperlink ref="B399" r:id="rId435" xr:uid="{00000000-0004-0000-0300-0000B2010000}"/>
    <hyperlink ref="B400" r:id="rId436" xr:uid="{00000000-0004-0000-0300-0000B3010000}"/>
    <hyperlink ref="B401" r:id="rId437" xr:uid="{00000000-0004-0000-0300-0000B4010000}"/>
    <hyperlink ref="B402" r:id="rId438" xr:uid="{00000000-0004-0000-0300-0000B5010000}"/>
    <hyperlink ref="B403" r:id="rId439" xr:uid="{00000000-0004-0000-0300-0000B6010000}"/>
    <hyperlink ref="B404" r:id="rId440" xr:uid="{00000000-0004-0000-0300-0000B7010000}"/>
    <hyperlink ref="B405" r:id="rId441" xr:uid="{00000000-0004-0000-0300-0000B8010000}"/>
    <hyperlink ref="B406" r:id="rId442" xr:uid="{00000000-0004-0000-0300-0000B9010000}"/>
    <hyperlink ref="B407" r:id="rId443" xr:uid="{00000000-0004-0000-0300-0000BA010000}"/>
    <hyperlink ref="B408" r:id="rId444" xr:uid="{00000000-0004-0000-0300-0000BB010000}"/>
    <hyperlink ref="B409" r:id="rId445" xr:uid="{00000000-0004-0000-0300-0000BC010000}"/>
    <hyperlink ref="B410" r:id="rId446" xr:uid="{00000000-0004-0000-0300-0000BD010000}"/>
    <hyperlink ref="B411" r:id="rId447" xr:uid="{00000000-0004-0000-0300-0000BE010000}"/>
    <hyperlink ref="B412" r:id="rId448" xr:uid="{00000000-0004-0000-0300-0000BF010000}"/>
    <hyperlink ref="B413" r:id="rId449" xr:uid="{00000000-0004-0000-0300-0000C0010000}"/>
    <hyperlink ref="B414" r:id="rId450" xr:uid="{00000000-0004-0000-0300-0000C1010000}"/>
    <hyperlink ref="B415" r:id="rId451" xr:uid="{00000000-0004-0000-0300-0000C2010000}"/>
    <hyperlink ref="B416" r:id="rId452" xr:uid="{00000000-0004-0000-0300-0000C3010000}"/>
    <hyperlink ref="B417" r:id="rId453" xr:uid="{00000000-0004-0000-0300-0000C4010000}"/>
    <hyperlink ref="B418" r:id="rId454" xr:uid="{00000000-0004-0000-0300-0000C5010000}"/>
    <hyperlink ref="B419" r:id="rId455" xr:uid="{00000000-0004-0000-0300-0000C6010000}"/>
    <hyperlink ref="B420" r:id="rId456" xr:uid="{00000000-0004-0000-0300-0000C7010000}"/>
    <hyperlink ref="B421" r:id="rId457" xr:uid="{00000000-0004-0000-0300-0000C8010000}"/>
    <hyperlink ref="B422" r:id="rId458" xr:uid="{00000000-0004-0000-0300-0000C9010000}"/>
    <hyperlink ref="B423" r:id="rId459" xr:uid="{00000000-0004-0000-0300-0000CA010000}"/>
    <hyperlink ref="B424" r:id="rId460" xr:uid="{00000000-0004-0000-0300-0000CB010000}"/>
    <hyperlink ref="B425" r:id="rId461" xr:uid="{00000000-0004-0000-0300-0000CC010000}"/>
    <hyperlink ref="B426" r:id="rId462" xr:uid="{00000000-0004-0000-0300-0000CD010000}"/>
    <hyperlink ref="B427" r:id="rId463" xr:uid="{00000000-0004-0000-0300-0000CE010000}"/>
    <hyperlink ref="B428" r:id="rId464" xr:uid="{00000000-0004-0000-0300-0000CF010000}"/>
    <hyperlink ref="B429" r:id="rId465" xr:uid="{00000000-0004-0000-0300-0000D0010000}"/>
    <hyperlink ref="B430" r:id="rId466" xr:uid="{00000000-0004-0000-0300-0000D1010000}"/>
    <hyperlink ref="B431" r:id="rId467" xr:uid="{00000000-0004-0000-0300-0000D2010000}"/>
    <hyperlink ref="B432" r:id="rId468" xr:uid="{00000000-0004-0000-0300-0000D3010000}"/>
    <hyperlink ref="B433" r:id="rId469" xr:uid="{00000000-0004-0000-0300-0000D4010000}"/>
    <hyperlink ref="B434" r:id="rId470" xr:uid="{00000000-0004-0000-0300-0000D5010000}"/>
    <hyperlink ref="B435" r:id="rId471" xr:uid="{00000000-0004-0000-0300-0000D6010000}"/>
    <hyperlink ref="B436" r:id="rId472" xr:uid="{00000000-0004-0000-0300-0000D7010000}"/>
    <hyperlink ref="B437" r:id="rId473" xr:uid="{00000000-0004-0000-0300-0000D8010000}"/>
    <hyperlink ref="B438" r:id="rId474" xr:uid="{00000000-0004-0000-0300-0000D9010000}"/>
    <hyperlink ref="B439" r:id="rId475" xr:uid="{00000000-0004-0000-0300-0000DA010000}"/>
    <hyperlink ref="B440" r:id="rId476" xr:uid="{00000000-0004-0000-0300-0000DB010000}"/>
    <hyperlink ref="B441" r:id="rId477" xr:uid="{00000000-0004-0000-0300-0000DC010000}"/>
    <hyperlink ref="B442" r:id="rId478" xr:uid="{00000000-0004-0000-0300-0000DD010000}"/>
    <hyperlink ref="B443" r:id="rId479" xr:uid="{00000000-0004-0000-0300-0000DE010000}"/>
    <hyperlink ref="B444" r:id="rId480" xr:uid="{00000000-0004-0000-0300-0000DF010000}"/>
    <hyperlink ref="B445" r:id="rId481" xr:uid="{00000000-0004-0000-0300-0000E0010000}"/>
    <hyperlink ref="B446" r:id="rId482" xr:uid="{00000000-0004-0000-0300-0000E1010000}"/>
    <hyperlink ref="B447" r:id="rId483" xr:uid="{00000000-0004-0000-0300-0000E2010000}"/>
    <hyperlink ref="B448" r:id="rId484" xr:uid="{00000000-0004-0000-0300-0000E3010000}"/>
    <hyperlink ref="B449" r:id="rId485" xr:uid="{00000000-0004-0000-0300-0000E4010000}"/>
    <hyperlink ref="B450" r:id="rId486" xr:uid="{00000000-0004-0000-0300-0000E5010000}"/>
    <hyperlink ref="B451" r:id="rId487" xr:uid="{00000000-0004-0000-0300-0000E6010000}"/>
    <hyperlink ref="B452" r:id="rId488" xr:uid="{00000000-0004-0000-0300-0000E7010000}"/>
    <hyperlink ref="B453" r:id="rId489" xr:uid="{00000000-0004-0000-0300-0000E8010000}"/>
    <hyperlink ref="B454" r:id="rId490" xr:uid="{00000000-0004-0000-0300-0000E9010000}"/>
    <hyperlink ref="B455" r:id="rId491" xr:uid="{00000000-0004-0000-0300-0000EA010000}"/>
    <hyperlink ref="B456" r:id="rId492" xr:uid="{00000000-0004-0000-0300-0000EB010000}"/>
    <hyperlink ref="B457" r:id="rId493" xr:uid="{00000000-0004-0000-0300-0000EC010000}"/>
    <hyperlink ref="B458" r:id="rId494" xr:uid="{00000000-0004-0000-0300-0000ED010000}"/>
    <hyperlink ref="B459" r:id="rId495" xr:uid="{00000000-0004-0000-0300-0000EE010000}"/>
    <hyperlink ref="B460" r:id="rId496" xr:uid="{00000000-0004-0000-0300-0000EF010000}"/>
    <hyperlink ref="B461" r:id="rId497" xr:uid="{00000000-0004-0000-0300-0000F0010000}"/>
    <hyperlink ref="B462" r:id="rId498" xr:uid="{00000000-0004-0000-0300-0000F1010000}"/>
    <hyperlink ref="B463" r:id="rId499" xr:uid="{00000000-0004-0000-0300-0000F2010000}"/>
    <hyperlink ref="B464" r:id="rId500" xr:uid="{00000000-0004-0000-0300-0000F3010000}"/>
    <hyperlink ref="B465" r:id="rId501" xr:uid="{00000000-0004-0000-0300-0000F4010000}"/>
    <hyperlink ref="B466" r:id="rId502" xr:uid="{00000000-0004-0000-0300-0000F5010000}"/>
    <hyperlink ref="B467" r:id="rId503" xr:uid="{00000000-0004-0000-0300-0000F6010000}"/>
    <hyperlink ref="B468" r:id="rId504" xr:uid="{00000000-0004-0000-0300-0000F7010000}"/>
    <hyperlink ref="B469" r:id="rId505" xr:uid="{00000000-0004-0000-0300-0000F8010000}"/>
    <hyperlink ref="B470" r:id="rId506" xr:uid="{00000000-0004-0000-0300-0000F9010000}"/>
    <hyperlink ref="B471" r:id="rId507" xr:uid="{00000000-0004-0000-0300-0000FA010000}"/>
    <hyperlink ref="B472" r:id="rId508" xr:uid="{00000000-0004-0000-0300-0000FB010000}"/>
    <hyperlink ref="B473" r:id="rId509" xr:uid="{00000000-0004-0000-0300-0000FC010000}"/>
    <hyperlink ref="B474" r:id="rId510" xr:uid="{00000000-0004-0000-0300-0000FD010000}"/>
    <hyperlink ref="B475" r:id="rId511" xr:uid="{00000000-0004-0000-0300-0000FE010000}"/>
    <hyperlink ref="B476" r:id="rId512" xr:uid="{00000000-0004-0000-0300-0000FF010000}"/>
    <hyperlink ref="B477" r:id="rId513" xr:uid="{00000000-0004-0000-0300-000000020000}"/>
    <hyperlink ref="B478" r:id="rId514" xr:uid="{00000000-0004-0000-0300-000001020000}"/>
    <hyperlink ref="B479" r:id="rId515" xr:uid="{00000000-0004-0000-0300-000002020000}"/>
    <hyperlink ref="B480" r:id="rId516" xr:uid="{00000000-0004-0000-0300-000003020000}"/>
    <hyperlink ref="B481" r:id="rId517" xr:uid="{00000000-0004-0000-0300-000004020000}"/>
    <hyperlink ref="B482" r:id="rId518" xr:uid="{00000000-0004-0000-0300-000005020000}"/>
    <hyperlink ref="B483" r:id="rId519" xr:uid="{00000000-0004-0000-0300-000006020000}"/>
    <hyperlink ref="B484" r:id="rId520" xr:uid="{00000000-0004-0000-0300-000007020000}"/>
    <hyperlink ref="B485" r:id="rId521" xr:uid="{00000000-0004-0000-0300-000008020000}"/>
    <hyperlink ref="B486" r:id="rId522" xr:uid="{00000000-0004-0000-0300-000009020000}"/>
    <hyperlink ref="B487" r:id="rId523" xr:uid="{00000000-0004-0000-0300-00000A020000}"/>
    <hyperlink ref="B488" r:id="rId524" xr:uid="{00000000-0004-0000-0300-00000B020000}"/>
    <hyperlink ref="B489" r:id="rId525" xr:uid="{00000000-0004-0000-0300-00000C020000}"/>
    <hyperlink ref="B490" r:id="rId526" xr:uid="{00000000-0004-0000-0300-00000D020000}"/>
    <hyperlink ref="B491" r:id="rId527" xr:uid="{00000000-0004-0000-0300-00000E020000}"/>
    <hyperlink ref="B492" r:id="rId528" xr:uid="{00000000-0004-0000-0300-00000F020000}"/>
    <hyperlink ref="B493" r:id="rId529" xr:uid="{00000000-0004-0000-0300-000010020000}"/>
    <hyperlink ref="B494" r:id="rId530" xr:uid="{00000000-0004-0000-0300-000011020000}"/>
    <hyperlink ref="B495" r:id="rId531" xr:uid="{00000000-0004-0000-0300-000012020000}"/>
    <hyperlink ref="B496" r:id="rId532" xr:uid="{00000000-0004-0000-0300-000013020000}"/>
    <hyperlink ref="B497" r:id="rId533" xr:uid="{00000000-0004-0000-0300-000014020000}"/>
    <hyperlink ref="B498" r:id="rId534" xr:uid="{00000000-0004-0000-0300-00001502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Página1</vt:lpstr>
      <vt:lpstr>Página6</vt:lpstr>
      <vt:lpstr>Página3</vt:lpstr>
      <vt:lpstr>Página2</vt:lpstr>
      <vt:lpstr>Página4</vt:lpstr>
      <vt:lpstr>Página5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Fett, Dartanhan</cp:lastModifiedBy>
  <dcterms:modified xsi:type="dcterms:W3CDTF">2026-06-13T22:19:24Z</dcterms:modified>
</cp:coreProperties>
</file>